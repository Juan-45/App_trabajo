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backupFile="1" codeName="ThisWorkbook" showPivotChartFilter="1" defaultThemeVersion="124226"/>
  <mc:AlternateContent xmlns:mc="http://schemas.openxmlformats.org/markup-compatibility/2006">
    <mc:Choice Requires="x15">
      <x15ac:absPath xmlns:x15ac="http://schemas.microsoft.com/office/spreadsheetml/2010/11/ac" url="C:\Users\Juan José Herrera\Desktop\Trabajo\GUARDIAS\SERVICIO\PLANILLAS DE COMUNICACIONES\ESPECÍFICAS 20HS\"/>
    </mc:Choice>
  </mc:AlternateContent>
  <bookViews>
    <workbookView xWindow="0" yWindow="0" windowWidth="20490" windowHeight="7650" tabRatio="865"/>
  </bookViews>
  <sheets>
    <sheet name="Carga de Alojados" sheetId="2" r:id="rId1"/>
    <sheet name="Datos" sheetId="4" state="hidden" r:id="rId2"/>
    <sheet name="Instructivo" sheetId="5" r:id="rId3"/>
  </sheets>
  <definedNames>
    <definedName name="_xlnm._FilterDatabase" localSheetId="0" hidden="1">'Carga de Alojados'!$E$1:$U$450</definedName>
    <definedName name="_xlnm._FilterDatabase" localSheetId="1" hidden="1">Datos!$BI$4:$BL$4</definedName>
    <definedName name="_xlnm.Print_Area" localSheetId="2">Instructivo!$A$1:$B$37</definedName>
    <definedName name="Caratulas">Datos!$BJ$5:$BJ$334</definedName>
    <definedName name="Comunica">Datos!$K$5:$K$8</definedName>
    <definedName name="Depto">Datos!$J$5:$J$23</definedName>
    <definedName name="DEPTO_JUDICIAL">#REF!</definedName>
    <definedName name="Edad">Datos!$H$5:$H$88</definedName>
    <definedName name="Empleo">Datos!$G$5:$G$13</definedName>
    <definedName name="Estado">Datos!$C$5:$C$7</definedName>
    <definedName name="GENERO">#REF!</definedName>
    <definedName name="Género">Datos!$A$5:$A$7</definedName>
    <definedName name="JD">Datos!$T$5:$T$41</definedName>
    <definedName name="JD_01_SAN_NICOLAS">Datos!$U$5:$U$31</definedName>
    <definedName name="JD_02_PERGAMINO">Datos!$V$5:$V$41</definedName>
    <definedName name="JD_03_JUNIN">Datos!$W$5:$W$63</definedName>
    <definedName name="JD_04_TRENQUE_LAUQUEN">Datos!$X$5:$X$38</definedName>
    <definedName name="JD_05_ZARATE_CAMPANA">Datos!$Y$5:$Y$20</definedName>
    <definedName name="JD_06_MERCEDES">Datos!$Z$5:$Z$53</definedName>
    <definedName name="JD_07_PEHUAJO">Datos!$AA$5:$AA$51</definedName>
    <definedName name="JD_08_SAN_VICENTE">Datos!$AB$5:$AB$44</definedName>
    <definedName name="JD_09_25_DE_MAYO">Datos!$AC$5:$AC$36</definedName>
    <definedName name="JD_10_CHASCOMUS">Datos!$AD$5:$AD$27</definedName>
    <definedName name="JD_11_AZUL">Datos!$AE$5:$AE$38</definedName>
    <definedName name="JD_12_GUAMINI">Datos!$AF$5:$AF$36</definedName>
    <definedName name="JD_13_PINAMAR">Datos!$AG$5:$AG$37</definedName>
    <definedName name="JD_14_TANDIL">Datos!$AH$5:$AH$28</definedName>
    <definedName name="JD_15_MAR_DEL_PLATA">Datos!$AI$5:$AI$57</definedName>
    <definedName name="JD_16_NECOCHEA">Datos!$AJ$5:$AJ$28</definedName>
    <definedName name="JD_17_TRES_ARROYOS">Datos!$AK$5:$AK$24</definedName>
    <definedName name="JD_18_CORONEL_SUAREZ">Datos!$AL$5:$AL$51</definedName>
    <definedName name="JD_19_BAHIA_BLANCA">Datos!$AM$5:$AM$54</definedName>
    <definedName name="JD_20_EXALT_DE_LA_CRUZ">Datos!$AN$5:$AN$20</definedName>
    <definedName name="JD_21_CONURBANO_NORTE">Datos!$AO$5:$AO$52</definedName>
    <definedName name="JD_22_SAN_MARTIN">Datos!$AP$5:$AP$19</definedName>
    <definedName name="JD_23_PILAR">Datos!$AQ$5:$AQ$37</definedName>
    <definedName name="JD_24_MORENO">Datos!$AR$5:$AR$24</definedName>
    <definedName name="JD_25_MORON">Datos!$AS$5:$AS$28</definedName>
    <definedName name="JD_26_LA_MATANZA">Datos!$AT$5:$AT$44</definedName>
    <definedName name="JD_27_MERLO">Datos!$AU$5:$AU$23</definedName>
    <definedName name="JD_28_ALMIRANTE_BROWN">Datos!$AV$5:$AV$39</definedName>
    <definedName name="JD_29_LANUS">Datos!$AW$5:$AW$43</definedName>
    <definedName name="JD_30_LA_PLATA">Datos!$AX$5:$AX$45</definedName>
    <definedName name="JD_31_DOLORES">Datos!$AY$5:$AY$29</definedName>
    <definedName name="JD_32_QUILMES">Datos!$AZ$5:$AZ$35</definedName>
    <definedName name="JD_33_TRES_DE_FEBRERO">Datos!$BA$5:$BA$17</definedName>
    <definedName name="Nacionalidad">Datos!$E$5:$E$97</definedName>
    <definedName name="Procedimiento">Datos!$I$5:$I$8</definedName>
    <definedName name="SELECCIONE">Datos!$T$44</definedName>
    <definedName name="Sí_No">Datos!$F$5:$F$7</definedName>
    <definedName name="Situación">Datos!$B$5:$B$12</definedName>
    <definedName name="SUPERINT_DE_EVAL_INF_PREV_DELITO">Datos!$R$5</definedName>
    <definedName name="SUPERINT_DE_SEGURIDAD_RURAL">Datos!$R$8:$R$51</definedName>
    <definedName name="SUPERINT_DE_SEGURIDAD_VIAL">Datos!$Q$5:$Q$100</definedName>
    <definedName name="SUPERINT_INV_DELITOS_COMPLEJOS">Datos!$S$5</definedName>
    <definedName name="SUPERINT_INV_TRAF_Y_DROG_ILICITAS">Datos!$O$5:$O$38</definedName>
    <definedName name="SUPERINT_INVEST_FUNC_JUDICIAL">Datos!$N$5:$N$62</definedName>
    <definedName name="SUPERINT_POLICIAS_DE_SEGURIDAD">Datos!$M$5:$M$45</definedName>
    <definedName name="SUPERINT_POLITICAS_GENERO">Datos!$P$5:$P$170</definedName>
    <definedName name="Superintendencia">Datos!$L$5:$L$13</definedName>
    <definedName name="Tipo_doc">Datos!$D$5:$D$10</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21" i="2" l="1"/>
  <c r="O121" i="2"/>
  <c r="O105" i="2" l="1"/>
  <c r="P105" i="2"/>
  <c r="O106" i="2"/>
  <c r="P106" i="2"/>
  <c r="P104" i="2" l="1"/>
  <c r="O104" i="2"/>
  <c r="P103" i="2" l="1"/>
  <c r="O103" i="2"/>
  <c r="P102" i="2"/>
  <c r="O102" i="2"/>
  <c r="P83" i="2"/>
  <c r="O83" i="2"/>
  <c r="P82" i="2"/>
  <c r="O82" i="2"/>
  <c r="P81" i="2"/>
  <c r="O81" i="2"/>
  <c r="P71" i="2" l="1"/>
  <c r="O71" i="2"/>
  <c r="P66" i="2" l="1"/>
  <c r="P67" i="2"/>
  <c r="P68" i="2"/>
  <c r="P69" i="2"/>
  <c r="O65" i="2"/>
  <c r="O66" i="2"/>
  <c r="O67" i="2"/>
  <c r="O68" i="2"/>
  <c r="O69" i="2"/>
  <c r="P60" i="2" l="1"/>
  <c r="O60" i="2"/>
  <c r="P13" i="2" l="1"/>
  <c r="O13" i="2"/>
  <c r="P12" i="2" l="1"/>
  <c r="O12" i="2"/>
  <c r="P8" i="2" l="1"/>
  <c r="P9" i="2"/>
  <c r="P10" i="2"/>
  <c r="O8" i="2"/>
  <c r="O9" i="2"/>
  <c r="O10" i="2"/>
  <c r="P322" i="2" l="1"/>
  <c r="O322" i="2"/>
  <c r="P321" i="2"/>
  <c r="O321" i="2"/>
  <c r="P320" i="2"/>
  <c r="O320" i="2"/>
  <c r="P319" i="2"/>
  <c r="O319" i="2"/>
  <c r="P318" i="2"/>
  <c r="O318" i="2"/>
  <c r="P317" i="2"/>
  <c r="O317" i="2"/>
  <c r="P316" i="2"/>
  <c r="O316" i="2"/>
  <c r="P315" i="2"/>
  <c r="O315" i="2"/>
  <c r="P314" i="2"/>
  <c r="O314" i="2"/>
  <c r="P313" i="2"/>
  <c r="O313" i="2"/>
  <c r="P312" i="2"/>
  <c r="O312" i="2"/>
  <c r="P311" i="2"/>
  <c r="O311" i="2"/>
  <c r="P310" i="2"/>
  <c r="O310" i="2"/>
  <c r="P309" i="2"/>
  <c r="O309" i="2"/>
  <c r="P308" i="2"/>
  <c r="O308" i="2"/>
  <c r="P307" i="2"/>
  <c r="O307" i="2"/>
  <c r="P306" i="2"/>
  <c r="O306" i="2"/>
  <c r="P305" i="2"/>
  <c r="O305" i="2"/>
  <c r="P304" i="2"/>
  <c r="O304" i="2"/>
  <c r="P303" i="2"/>
  <c r="O303" i="2"/>
  <c r="P302" i="2"/>
  <c r="O302" i="2"/>
  <c r="P301" i="2"/>
  <c r="O301" i="2"/>
  <c r="P300" i="2"/>
  <c r="O300" i="2"/>
  <c r="P299" i="2"/>
  <c r="O299" i="2"/>
  <c r="P298" i="2"/>
  <c r="O298" i="2"/>
  <c r="P297" i="2"/>
  <c r="O297" i="2"/>
  <c r="P296" i="2"/>
  <c r="O296" i="2"/>
  <c r="P295" i="2"/>
  <c r="O295" i="2"/>
  <c r="P294" i="2"/>
  <c r="O294" i="2"/>
  <c r="P293" i="2"/>
  <c r="O293" i="2"/>
  <c r="P292" i="2"/>
  <c r="O292" i="2"/>
  <c r="P291" i="2"/>
  <c r="O291" i="2"/>
  <c r="P290" i="2"/>
  <c r="O290" i="2"/>
  <c r="P289" i="2"/>
  <c r="O289" i="2"/>
  <c r="P288" i="2"/>
  <c r="O288" i="2"/>
  <c r="P287" i="2"/>
  <c r="O287" i="2"/>
  <c r="P286" i="2"/>
  <c r="O286" i="2"/>
  <c r="P285" i="2"/>
  <c r="O285" i="2"/>
  <c r="P284" i="2"/>
  <c r="O284" i="2"/>
  <c r="P283" i="2"/>
  <c r="O283" i="2"/>
  <c r="P282" i="2"/>
  <c r="O282" i="2"/>
  <c r="P281" i="2"/>
  <c r="O281" i="2"/>
  <c r="P280" i="2"/>
  <c r="O280" i="2"/>
  <c r="P279" i="2"/>
  <c r="O279" i="2"/>
  <c r="P278" i="2"/>
  <c r="O278" i="2"/>
  <c r="P277" i="2"/>
  <c r="O277" i="2"/>
  <c r="P276" i="2"/>
  <c r="O276" i="2"/>
  <c r="P275" i="2"/>
  <c r="O275" i="2"/>
  <c r="P274" i="2"/>
  <c r="O274" i="2"/>
  <c r="P273" i="2"/>
  <c r="O273" i="2"/>
  <c r="P272" i="2"/>
  <c r="O272" i="2"/>
  <c r="P271" i="2"/>
  <c r="O271" i="2"/>
  <c r="P270" i="2"/>
  <c r="O270" i="2"/>
  <c r="P269" i="2"/>
  <c r="O269" i="2"/>
  <c r="P268" i="2"/>
  <c r="O268" i="2"/>
  <c r="P267" i="2"/>
  <c r="O267" i="2"/>
  <c r="P266" i="2"/>
  <c r="O266" i="2"/>
  <c r="P265" i="2"/>
  <c r="O265" i="2"/>
  <c r="P264" i="2"/>
  <c r="O264" i="2"/>
  <c r="P263" i="2"/>
  <c r="O263" i="2"/>
  <c r="P262" i="2"/>
  <c r="O262" i="2"/>
  <c r="P261" i="2"/>
  <c r="O261" i="2"/>
  <c r="P260" i="2"/>
  <c r="O260" i="2"/>
  <c r="P259" i="2"/>
  <c r="O259" i="2"/>
  <c r="P258" i="2"/>
  <c r="O258" i="2"/>
  <c r="P257" i="2"/>
  <c r="O257" i="2"/>
  <c r="P256" i="2"/>
  <c r="O256" i="2"/>
  <c r="P255" i="2"/>
  <c r="O255" i="2"/>
  <c r="P254" i="2"/>
  <c r="O254" i="2"/>
  <c r="P253" i="2"/>
  <c r="O253" i="2"/>
  <c r="P252" i="2"/>
  <c r="O252" i="2"/>
  <c r="P251" i="2"/>
  <c r="O251" i="2"/>
  <c r="P250" i="2"/>
  <c r="O250" i="2"/>
  <c r="P249" i="2"/>
  <c r="O249" i="2"/>
  <c r="P248" i="2"/>
  <c r="O248" i="2"/>
  <c r="P247" i="2"/>
  <c r="O247" i="2"/>
  <c r="P246" i="2"/>
  <c r="O246" i="2"/>
  <c r="P245" i="2"/>
  <c r="O245" i="2"/>
  <c r="P244" i="2"/>
  <c r="O244" i="2"/>
  <c r="P243" i="2"/>
  <c r="O243" i="2"/>
  <c r="P242" i="2"/>
  <c r="O242" i="2"/>
  <c r="P241" i="2"/>
  <c r="O241" i="2"/>
  <c r="P240" i="2"/>
  <c r="O240" i="2"/>
  <c r="P239" i="2"/>
  <c r="O239" i="2"/>
  <c r="P238" i="2"/>
  <c r="O238" i="2"/>
  <c r="P237" i="2"/>
  <c r="O237" i="2"/>
  <c r="P236" i="2"/>
  <c r="O236" i="2"/>
  <c r="P235" i="2"/>
  <c r="O235" i="2"/>
  <c r="P234" i="2"/>
  <c r="O234" i="2"/>
  <c r="P233" i="2"/>
  <c r="O233" i="2"/>
  <c r="P232" i="2"/>
  <c r="O232" i="2"/>
  <c r="P231" i="2"/>
  <c r="O231" i="2"/>
  <c r="P230" i="2"/>
  <c r="O230" i="2"/>
  <c r="P229" i="2"/>
  <c r="O229" i="2"/>
  <c r="P228" i="2"/>
  <c r="O228" i="2"/>
  <c r="P227" i="2"/>
  <c r="O227" i="2"/>
  <c r="P226" i="2"/>
  <c r="O226" i="2"/>
  <c r="P225" i="2"/>
  <c r="O225" i="2"/>
  <c r="P224" i="2"/>
  <c r="O224" i="2"/>
  <c r="P223" i="2"/>
  <c r="O223" i="2"/>
  <c r="P222" i="2"/>
  <c r="O222" i="2"/>
  <c r="P221" i="2"/>
  <c r="O221" i="2"/>
  <c r="P220" i="2"/>
  <c r="O220" i="2"/>
  <c r="P219" i="2"/>
  <c r="O219" i="2"/>
  <c r="P218" i="2"/>
  <c r="O218" i="2"/>
  <c r="P217" i="2"/>
  <c r="O217" i="2"/>
  <c r="P216" i="2"/>
  <c r="O216" i="2"/>
  <c r="P215" i="2"/>
  <c r="O215" i="2"/>
  <c r="P214" i="2"/>
  <c r="O214" i="2"/>
  <c r="P213" i="2"/>
  <c r="O213" i="2"/>
  <c r="P212" i="2"/>
  <c r="O212" i="2"/>
  <c r="P211" i="2"/>
  <c r="O211" i="2"/>
  <c r="P210" i="2"/>
  <c r="O210" i="2"/>
  <c r="P209" i="2"/>
  <c r="O209" i="2"/>
  <c r="P208" i="2"/>
  <c r="O208" i="2"/>
  <c r="P207" i="2"/>
  <c r="O207" i="2"/>
  <c r="P206" i="2"/>
  <c r="O206" i="2"/>
  <c r="P205" i="2"/>
  <c r="O205" i="2"/>
  <c r="P204" i="2"/>
  <c r="O204" i="2"/>
  <c r="P203" i="2"/>
  <c r="O203" i="2"/>
  <c r="P202" i="2"/>
  <c r="O202" i="2"/>
  <c r="P201" i="2"/>
  <c r="O201" i="2"/>
  <c r="P200" i="2"/>
  <c r="O200" i="2"/>
  <c r="P199" i="2"/>
  <c r="O199" i="2"/>
  <c r="P198" i="2"/>
  <c r="O198" i="2"/>
  <c r="P197" i="2"/>
  <c r="O197" i="2"/>
  <c r="P196" i="2"/>
  <c r="O196" i="2"/>
  <c r="P195" i="2"/>
  <c r="O195" i="2"/>
  <c r="P194" i="2"/>
  <c r="O194" i="2"/>
  <c r="P193" i="2"/>
  <c r="O193" i="2"/>
  <c r="P192" i="2"/>
  <c r="O192" i="2"/>
  <c r="P191" i="2"/>
  <c r="O191" i="2"/>
  <c r="P190" i="2"/>
  <c r="O190" i="2"/>
  <c r="P189" i="2"/>
  <c r="O189" i="2"/>
  <c r="P188" i="2"/>
  <c r="O188" i="2"/>
  <c r="P187" i="2"/>
  <c r="O187" i="2"/>
  <c r="P186" i="2"/>
  <c r="O186" i="2"/>
  <c r="P185" i="2"/>
  <c r="O185" i="2"/>
  <c r="P184" i="2"/>
  <c r="O184" i="2"/>
  <c r="P183" i="2"/>
  <c r="O183" i="2"/>
  <c r="P182" i="2"/>
  <c r="O182" i="2"/>
  <c r="P181" i="2"/>
  <c r="O181" i="2"/>
  <c r="P180" i="2"/>
  <c r="O180" i="2"/>
  <c r="P179" i="2"/>
  <c r="O179" i="2"/>
  <c r="P178" i="2"/>
  <c r="O178" i="2"/>
  <c r="P177" i="2"/>
  <c r="O177" i="2"/>
  <c r="P176" i="2"/>
  <c r="O176" i="2"/>
  <c r="P175" i="2"/>
  <c r="O175" i="2"/>
  <c r="P174" i="2"/>
  <c r="O174" i="2"/>
  <c r="P173" i="2"/>
  <c r="O173" i="2"/>
  <c r="P172" i="2"/>
  <c r="O172" i="2"/>
  <c r="P171" i="2"/>
  <c r="O171" i="2"/>
  <c r="P170" i="2"/>
  <c r="O170" i="2"/>
  <c r="P169" i="2"/>
  <c r="O169" i="2"/>
  <c r="P168" i="2"/>
  <c r="O168" i="2"/>
  <c r="P167" i="2"/>
  <c r="O167" i="2"/>
  <c r="P166" i="2"/>
  <c r="O166" i="2"/>
  <c r="P165" i="2"/>
  <c r="O165" i="2"/>
  <c r="P164" i="2"/>
  <c r="O164" i="2"/>
  <c r="P163" i="2"/>
  <c r="O163" i="2"/>
  <c r="P162" i="2"/>
  <c r="O162" i="2"/>
  <c r="P161" i="2"/>
  <c r="O161" i="2"/>
  <c r="P160" i="2"/>
  <c r="O160" i="2"/>
  <c r="P159" i="2"/>
  <c r="O159" i="2"/>
  <c r="P158" i="2"/>
  <c r="O158" i="2"/>
  <c r="P157" i="2"/>
  <c r="O157" i="2"/>
  <c r="P156" i="2"/>
  <c r="O156" i="2"/>
  <c r="P155" i="2"/>
  <c r="O155" i="2"/>
  <c r="P154" i="2"/>
  <c r="O154" i="2"/>
  <c r="P153" i="2"/>
  <c r="O153" i="2"/>
  <c r="P152" i="2"/>
  <c r="O152" i="2"/>
  <c r="P151" i="2"/>
  <c r="O151" i="2"/>
  <c r="P150" i="2"/>
  <c r="O150" i="2"/>
  <c r="P149" i="2"/>
  <c r="O149" i="2"/>
  <c r="P148" i="2"/>
  <c r="O148" i="2"/>
  <c r="P147" i="2"/>
  <c r="O147" i="2"/>
  <c r="P146" i="2"/>
  <c r="O146" i="2"/>
  <c r="P145" i="2"/>
  <c r="O145" i="2"/>
  <c r="P144" i="2"/>
  <c r="O144" i="2"/>
  <c r="P143" i="2"/>
  <c r="O143" i="2"/>
  <c r="P142" i="2"/>
  <c r="O142" i="2"/>
  <c r="P141" i="2"/>
  <c r="O141" i="2"/>
  <c r="P140" i="2"/>
  <c r="O140" i="2"/>
  <c r="P139" i="2"/>
  <c r="O139" i="2"/>
  <c r="P138" i="2"/>
  <c r="O138" i="2"/>
  <c r="P137" i="2"/>
  <c r="O137" i="2"/>
  <c r="P136" i="2"/>
  <c r="O136" i="2"/>
  <c r="P135" i="2"/>
  <c r="O135" i="2"/>
  <c r="P134" i="2"/>
  <c r="O134" i="2"/>
  <c r="P133" i="2"/>
  <c r="O133" i="2"/>
  <c r="P132" i="2"/>
  <c r="O132" i="2"/>
  <c r="P131" i="2"/>
  <c r="O131" i="2"/>
  <c r="P130" i="2"/>
  <c r="O130" i="2"/>
  <c r="P129" i="2"/>
  <c r="O129" i="2"/>
  <c r="P128" i="2"/>
  <c r="O128" i="2"/>
  <c r="P127" i="2"/>
  <c r="O127" i="2"/>
  <c r="P126" i="2"/>
  <c r="O126" i="2"/>
  <c r="P125" i="2"/>
  <c r="O125" i="2"/>
  <c r="P124" i="2"/>
  <c r="O124" i="2"/>
  <c r="P122" i="2"/>
  <c r="O122" i="2"/>
  <c r="P119" i="2"/>
  <c r="O119" i="2"/>
  <c r="P118" i="2"/>
  <c r="O118" i="2"/>
  <c r="P117" i="2"/>
  <c r="O117" i="2"/>
  <c r="P116" i="2"/>
  <c r="O116" i="2"/>
  <c r="P115" i="2"/>
  <c r="O115" i="2"/>
  <c r="P101" i="2"/>
  <c r="O101" i="2"/>
  <c r="P100" i="2"/>
  <c r="O100" i="2"/>
  <c r="P99" i="2"/>
  <c r="O99" i="2"/>
  <c r="P98" i="2"/>
  <c r="O98" i="2"/>
  <c r="P97" i="2"/>
  <c r="O97" i="2"/>
  <c r="P96" i="2"/>
  <c r="O96" i="2"/>
  <c r="P95" i="2"/>
  <c r="O95" i="2"/>
  <c r="P94" i="2"/>
  <c r="O94" i="2"/>
  <c r="P92" i="2"/>
  <c r="O92" i="2"/>
  <c r="P91" i="2"/>
  <c r="O91" i="2"/>
  <c r="P88" i="2"/>
  <c r="O88" i="2"/>
  <c r="P87" i="2"/>
  <c r="O87" i="2"/>
  <c r="P86" i="2"/>
  <c r="O86" i="2"/>
  <c r="P85" i="2"/>
  <c r="O85" i="2"/>
  <c r="P84" i="2"/>
  <c r="O84" i="2"/>
  <c r="P77" i="2"/>
  <c r="O77" i="2"/>
  <c r="P76" i="2"/>
  <c r="O76" i="2"/>
  <c r="P75" i="2"/>
  <c r="O75" i="2"/>
  <c r="P74" i="2"/>
  <c r="O74" i="2"/>
  <c r="P73" i="2"/>
  <c r="O73" i="2"/>
  <c r="P72" i="2"/>
  <c r="O72" i="2"/>
  <c r="P70" i="2"/>
  <c r="O70" i="2"/>
  <c r="P65" i="2"/>
  <c r="P64" i="2"/>
  <c r="O64" i="2"/>
  <c r="P63" i="2"/>
  <c r="O63" i="2"/>
  <c r="P62" i="2"/>
  <c r="O62" i="2"/>
  <c r="P61" i="2"/>
  <c r="O61" i="2"/>
  <c r="P59" i="2"/>
  <c r="O59" i="2"/>
  <c r="P58" i="2"/>
  <c r="O58" i="2"/>
  <c r="P57" i="2"/>
  <c r="O57" i="2"/>
  <c r="P56" i="2"/>
  <c r="O56" i="2"/>
  <c r="P55" i="2"/>
  <c r="O55" i="2"/>
  <c r="P54" i="2"/>
  <c r="O54" i="2"/>
  <c r="P53" i="2"/>
  <c r="O53" i="2"/>
  <c r="P52" i="2"/>
  <c r="O52" i="2"/>
  <c r="P51" i="2"/>
  <c r="O51" i="2"/>
  <c r="P50" i="2"/>
  <c r="O50" i="2"/>
  <c r="P49" i="2"/>
  <c r="O49" i="2"/>
  <c r="P48" i="2"/>
  <c r="O48" i="2"/>
  <c r="P47" i="2"/>
  <c r="O47" i="2"/>
  <c r="P46" i="2"/>
  <c r="O46" i="2"/>
  <c r="P40" i="2"/>
  <c r="O40" i="2"/>
  <c r="P39" i="2"/>
  <c r="O39" i="2"/>
  <c r="P38" i="2"/>
  <c r="O38" i="2"/>
  <c r="P37" i="2"/>
  <c r="O37" i="2"/>
  <c r="P36" i="2"/>
  <c r="O36" i="2"/>
  <c r="P35" i="2"/>
  <c r="O35" i="2"/>
  <c r="P34" i="2"/>
  <c r="O34" i="2"/>
  <c r="P33" i="2"/>
  <c r="O33" i="2"/>
  <c r="P32" i="2"/>
  <c r="O32" i="2"/>
  <c r="P31" i="2"/>
  <c r="O31" i="2"/>
  <c r="P30" i="2"/>
  <c r="O30" i="2"/>
  <c r="P29" i="2"/>
  <c r="O29" i="2"/>
  <c r="P28" i="2"/>
  <c r="O28" i="2"/>
  <c r="P27" i="2"/>
  <c r="O27" i="2"/>
  <c r="P26" i="2"/>
  <c r="O26" i="2"/>
  <c r="P25" i="2"/>
  <c r="O25" i="2"/>
  <c r="P24" i="2"/>
  <c r="O24" i="2"/>
  <c r="P23" i="2"/>
  <c r="O23" i="2"/>
  <c r="P22" i="2"/>
  <c r="O22" i="2"/>
  <c r="P21" i="2"/>
  <c r="O21" i="2"/>
  <c r="P20" i="2"/>
  <c r="O20" i="2"/>
  <c r="P19" i="2"/>
  <c r="O19" i="2"/>
  <c r="P18" i="2"/>
  <c r="O18" i="2"/>
  <c r="P17" i="2"/>
  <c r="O17" i="2"/>
  <c r="P16" i="2"/>
  <c r="O16" i="2"/>
  <c r="P15" i="2"/>
  <c r="O15" i="2"/>
  <c r="P14" i="2"/>
  <c r="O14" i="2"/>
  <c r="P11" i="2"/>
  <c r="O11" i="2"/>
  <c r="P7" i="2"/>
  <c r="O7" i="2"/>
  <c r="P6" i="2"/>
  <c r="O6" i="2"/>
  <c r="P5" i="2"/>
  <c r="O5" i="2"/>
  <c r="P4" i="2"/>
  <c r="O4" i="2"/>
  <c r="P3" i="2"/>
  <c r="O3" i="2"/>
  <c r="P2" i="2"/>
  <c r="O2" i="2"/>
  <c r="P450" i="2"/>
  <c r="O450" i="2"/>
  <c r="P449" i="2"/>
  <c r="O449" i="2"/>
  <c r="P448" i="2"/>
  <c r="O448" i="2"/>
  <c r="P447" i="2"/>
  <c r="O447" i="2"/>
  <c r="P446" i="2"/>
  <c r="O446" i="2"/>
  <c r="P445" i="2"/>
  <c r="O445" i="2"/>
  <c r="P444" i="2"/>
  <c r="O444" i="2"/>
  <c r="P443" i="2"/>
  <c r="O443" i="2"/>
  <c r="P442" i="2"/>
  <c r="O442" i="2"/>
  <c r="P441" i="2"/>
  <c r="O441" i="2"/>
  <c r="P440" i="2"/>
  <c r="O440" i="2"/>
  <c r="P439" i="2"/>
  <c r="O439" i="2"/>
  <c r="P438" i="2"/>
  <c r="O438" i="2"/>
  <c r="P437" i="2"/>
  <c r="O437" i="2"/>
  <c r="P436" i="2"/>
  <c r="O436" i="2"/>
  <c r="P435" i="2"/>
  <c r="O435" i="2"/>
  <c r="P434" i="2"/>
  <c r="O434" i="2"/>
  <c r="P433" i="2"/>
  <c r="O433" i="2"/>
  <c r="P432" i="2"/>
  <c r="O432" i="2"/>
  <c r="P431" i="2"/>
  <c r="O431" i="2"/>
  <c r="P430" i="2"/>
  <c r="O430" i="2"/>
  <c r="P429" i="2"/>
  <c r="O429" i="2"/>
  <c r="P428" i="2"/>
  <c r="O428" i="2"/>
  <c r="P427" i="2"/>
  <c r="O427" i="2"/>
  <c r="P426" i="2"/>
  <c r="O426" i="2"/>
  <c r="P425" i="2"/>
  <c r="O425" i="2"/>
  <c r="P424" i="2"/>
  <c r="O424" i="2"/>
  <c r="P423" i="2"/>
  <c r="O423" i="2"/>
  <c r="P422" i="2"/>
  <c r="O422" i="2"/>
  <c r="P421" i="2"/>
  <c r="O421" i="2"/>
  <c r="P420" i="2"/>
  <c r="O420" i="2"/>
  <c r="P419" i="2"/>
  <c r="O419" i="2"/>
  <c r="P418" i="2"/>
  <c r="O418" i="2"/>
  <c r="P417" i="2"/>
  <c r="O417" i="2"/>
  <c r="P416" i="2"/>
  <c r="O416" i="2"/>
  <c r="P415" i="2"/>
  <c r="O415" i="2"/>
  <c r="P414" i="2"/>
  <c r="O414" i="2"/>
  <c r="P413" i="2"/>
  <c r="O413" i="2"/>
  <c r="P412" i="2"/>
  <c r="O412" i="2"/>
  <c r="P411" i="2"/>
  <c r="O411" i="2"/>
  <c r="P410" i="2"/>
  <c r="O410" i="2"/>
  <c r="P409" i="2"/>
  <c r="O409" i="2"/>
  <c r="P408" i="2"/>
  <c r="O408" i="2"/>
  <c r="P407" i="2"/>
  <c r="O407" i="2"/>
  <c r="P406" i="2"/>
  <c r="O406" i="2"/>
  <c r="P405" i="2"/>
  <c r="O405" i="2"/>
  <c r="P404" i="2"/>
  <c r="O404" i="2"/>
  <c r="P403" i="2"/>
  <c r="O403" i="2"/>
  <c r="P402" i="2"/>
  <c r="O402" i="2"/>
  <c r="P401" i="2"/>
  <c r="O401" i="2"/>
  <c r="P400" i="2"/>
  <c r="O400" i="2"/>
  <c r="P399" i="2"/>
  <c r="O399" i="2"/>
  <c r="P398" i="2"/>
  <c r="O398" i="2"/>
  <c r="P397" i="2"/>
  <c r="O397" i="2"/>
  <c r="P396" i="2"/>
  <c r="O396" i="2"/>
  <c r="P395" i="2"/>
  <c r="O395" i="2"/>
  <c r="P394" i="2"/>
  <c r="O394" i="2"/>
  <c r="P393" i="2"/>
  <c r="O393" i="2"/>
  <c r="P392" i="2"/>
  <c r="O392" i="2"/>
  <c r="P391" i="2"/>
  <c r="O391" i="2"/>
  <c r="P390" i="2"/>
  <c r="O390" i="2"/>
  <c r="P389" i="2"/>
  <c r="O389" i="2"/>
  <c r="P388" i="2"/>
  <c r="O388" i="2"/>
  <c r="P387" i="2"/>
  <c r="O387" i="2"/>
  <c r="P386" i="2"/>
  <c r="O386" i="2"/>
  <c r="P385" i="2"/>
  <c r="O385" i="2"/>
  <c r="P384" i="2"/>
  <c r="O384" i="2"/>
  <c r="P383" i="2"/>
  <c r="O383" i="2"/>
  <c r="P382" i="2"/>
  <c r="O382" i="2"/>
  <c r="P381" i="2"/>
  <c r="O381" i="2"/>
  <c r="P380" i="2"/>
  <c r="O380" i="2"/>
  <c r="P379" i="2"/>
  <c r="O379" i="2"/>
  <c r="P378" i="2"/>
  <c r="O378" i="2"/>
  <c r="P377" i="2"/>
  <c r="O377" i="2"/>
  <c r="P376" i="2"/>
  <c r="O376" i="2"/>
  <c r="P375" i="2"/>
  <c r="O375" i="2"/>
  <c r="P374" i="2"/>
  <c r="O374" i="2"/>
  <c r="P373" i="2"/>
  <c r="O373" i="2"/>
  <c r="P372" i="2"/>
  <c r="O372" i="2"/>
  <c r="P371" i="2"/>
  <c r="O371" i="2"/>
  <c r="P370" i="2"/>
  <c r="O370" i="2"/>
  <c r="P369" i="2"/>
  <c r="O369" i="2"/>
  <c r="P368" i="2"/>
  <c r="O368" i="2"/>
  <c r="P367" i="2"/>
  <c r="O367" i="2"/>
  <c r="P366" i="2"/>
  <c r="O366" i="2"/>
  <c r="P365" i="2"/>
  <c r="O365" i="2"/>
  <c r="P364" i="2"/>
  <c r="O364" i="2"/>
  <c r="P363" i="2"/>
  <c r="O363" i="2"/>
  <c r="P362" i="2"/>
  <c r="O362" i="2"/>
  <c r="P361" i="2"/>
  <c r="O361" i="2"/>
  <c r="P360" i="2"/>
  <c r="O360" i="2"/>
  <c r="P359" i="2"/>
  <c r="O359" i="2"/>
  <c r="P358" i="2"/>
  <c r="O358" i="2"/>
  <c r="P357" i="2"/>
  <c r="O357" i="2"/>
  <c r="P356" i="2"/>
  <c r="O356" i="2"/>
  <c r="P355" i="2"/>
  <c r="O355" i="2"/>
  <c r="P354" i="2"/>
  <c r="O354" i="2"/>
  <c r="P353" i="2"/>
  <c r="O353" i="2"/>
  <c r="P352" i="2"/>
  <c r="O352" i="2"/>
  <c r="P351" i="2"/>
  <c r="O351" i="2"/>
  <c r="P350" i="2"/>
  <c r="O350" i="2"/>
  <c r="P349" i="2"/>
  <c r="O349" i="2"/>
  <c r="P348" i="2"/>
  <c r="O348" i="2"/>
  <c r="P347" i="2"/>
  <c r="O347" i="2"/>
  <c r="P346" i="2"/>
  <c r="O346" i="2"/>
  <c r="P345" i="2"/>
  <c r="O345" i="2"/>
  <c r="P344" i="2"/>
  <c r="O344" i="2"/>
  <c r="P343" i="2"/>
  <c r="O343" i="2"/>
  <c r="P342" i="2"/>
  <c r="O342" i="2"/>
  <c r="P341" i="2"/>
  <c r="O341" i="2"/>
  <c r="P340" i="2"/>
  <c r="O340" i="2"/>
  <c r="P339" i="2"/>
  <c r="O339" i="2"/>
  <c r="P338" i="2"/>
  <c r="O338" i="2"/>
  <c r="P337" i="2"/>
  <c r="O337" i="2"/>
  <c r="P336" i="2"/>
  <c r="O336" i="2"/>
  <c r="P335" i="2"/>
  <c r="O335" i="2"/>
  <c r="P334" i="2"/>
  <c r="O334" i="2"/>
  <c r="P333" i="2"/>
  <c r="O333" i="2"/>
  <c r="P332" i="2"/>
  <c r="O332" i="2"/>
  <c r="P331" i="2"/>
  <c r="O331" i="2"/>
  <c r="P330" i="2"/>
  <c r="O330" i="2"/>
  <c r="P329" i="2"/>
  <c r="O329" i="2"/>
  <c r="P328" i="2"/>
  <c r="O328" i="2"/>
  <c r="P327" i="2"/>
  <c r="O327" i="2"/>
  <c r="P326" i="2"/>
  <c r="O326" i="2"/>
  <c r="P325" i="2"/>
  <c r="O325" i="2"/>
  <c r="P324" i="2"/>
  <c r="O324" i="2"/>
  <c r="P323" i="2"/>
  <c r="O323" i="2"/>
  <c r="J49" i="4" l="1"/>
  <c r="J50" i="4"/>
  <c r="J51" i="4"/>
</calcChain>
</file>

<file path=xl/sharedStrings.xml><?xml version="1.0" encoding="utf-8"?>
<sst xmlns="http://schemas.openxmlformats.org/spreadsheetml/2006/main" count="9467" uniqueCount="3307">
  <si>
    <t>JEF.DISTRITAL ALTE.BROWN</t>
  </si>
  <si>
    <t>JEF.DISTRITAL EZEIZA</t>
  </si>
  <si>
    <t>JEF.DISTRITAL E.ECHEVERRIA</t>
  </si>
  <si>
    <t>JEF.DISTRITAL PTE.PERON</t>
  </si>
  <si>
    <t>CRIA.MUJER y FLIA.PTE.PERON</t>
  </si>
  <si>
    <t>CIUDAD EVITA</t>
  </si>
  <si>
    <t>SEC.POLIGONO DE TIRO (MATANZA)</t>
  </si>
  <si>
    <t>DIR.SEGURIDAD ISLAS</t>
  </si>
  <si>
    <t>CRIA.MUJER y FLIA.MORENO</t>
  </si>
  <si>
    <t>SAN MARTIN</t>
  </si>
  <si>
    <t>GENERAL SAN MARTIN</t>
  </si>
  <si>
    <t>TRES ARROYOS</t>
  </si>
  <si>
    <t>PATRULLA RURAL TRES ARROYOS</t>
  </si>
  <si>
    <t>AVELLANEDA</t>
  </si>
  <si>
    <t>MORON</t>
  </si>
  <si>
    <t>LA MATANZA</t>
  </si>
  <si>
    <t>LA PLATA</t>
  </si>
  <si>
    <t>TIGRE</t>
  </si>
  <si>
    <t>SAN ISIDRO</t>
  </si>
  <si>
    <t>LANUS</t>
  </si>
  <si>
    <t>MERLO</t>
  </si>
  <si>
    <t>CRIA.MERLO 1RA</t>
  </si>
  <si>
    <t>DTO.Bº POMPEYA</t>
  </si>
  <si>
    <t>MORENO</t>
  </si>
  <si>
    <t>JEF.DISTRITAL MORENO</t>
  </si>
  <si>
    <t>MERCEDES</t>
  </si>
  <si>
    <t>GRUPO APOYO DPTAL.MERCEDES</t>
  </si>
  <si>
    <t>SAN ANTONIO DE PADUA</t>
  </si>
  <si>
    <t>CRIA.MERLO 2DA</t>
  </si>
  <si>
    <t>PARQUE SAN MARTIN</t>
  </si>
  <si>
    <t>CRIA.MERLO 3RA</t>
  </si>
  <si>
    <t>BARRIO MATERA</t>
  </si>
  <si>
    <t>SUBCRIA.BARRIO MATERA</t>
  </si>
  <si>
    <t>LIBERTAD</t>
  </si>
  <si>
    <t>CRIA.MERLO 4TA</t>
  </si>
  <si>
    <t>PONTEVEDRA</t>
  </si>
  <si>
    <t>CRIA.MERLO 5TA</t>
  </si>
  <si>
    <t>MARIANO ACOSTA</t>
  </si>
  <si>
    <t>CRIA.MERLO 6TA</t>
  </si>
  <si>
    <t>CRIA.MORENO 1RA</t>
  </si>
  <si>
    <t>LA REJA</t>
  </si>
  <si>
    <t>CRIA.MORENO 7MA</t>
  </si>
  <si>
    <t>VILLA TRUJUY</t>
  </si>
  <si>
    <t>CRIA.MORENO 2DA</t>
  </si>
  <si>
    <t>LAS CATONAS</t>
  </si>
  <si>
    <t>CRIA.MORENO 8VA</t>
  </si>
  <si>
    <t>VILLA GENERAL ZAPIOLA</t>
  </si>
  <si>
    <t>CRIA.MORENO 3RA</t>
  </si>
  <si>
    <t>CUARTEL 5TO.</t>
  </si>
  <si>
    <t>CRIA.MORENO 4TA</t>
  </si>
  <si>
    <t>PASO DEL REY</t>
  </si>
  <si>
    <t>CRIA.MORENO 5TA</t>
  </si>
  <si>
    <t>FRANCISCO ALVAREZ</t>
  </si>
  <si>
    <t>CRIA.MORENO 6TA</t>
  </si>
  <si>
    <t>CRIA.MORON 1RA</t>
  </si>
  <si>
    <t>HAEDO</t>
  </si>
  <si>
    <t>CRIA.MORON 2DA</t>
  </si>
  <si>
    <t>CASTELAR SUR</t>
  </si>
  <si>
    <t>CRIA.MORON 3RA</t>
  </si>
  <si>
    <t>CASTELAR</t>
  </si>
  <si>
    <t>DTO.CASTELAR SUR</t>
  </si>
  <si>
    <t>HURLINGHAM</t>
  </si>
  <si>
    <t>CRIA.HURLINGHAM 1RA</t>
  </si>
  <si>
    <t>ITUZAINGO</t>
  </si>
  <si>
    <t>CRIA.ITUZAINGO 1RA</t>
  </si>
  <si>
    <t>CRIA.MUJER y FLIA.ITUZAINGO</t>
  </si>
  <si>
    <t>EL PALOMAR</t>
  </si>
  <si>
    <t>CRIA.MORON 6TA</t>
  </si>
  <si>
    <t>CASTELAR NORTE</t>
  </si>
  <si>
    <t>CRIA.MORON 7MA</t>
  </si>
  <si>
    <t>VILLA TESEI</t>
  </si>
  <si>
    <t>CRIA.HURLINGHAM 2DA</t>
  </si>
  <si>
    <t>CRIA.HURLINGHAM 4TA</t>
  </si>
  <si>
    <t>CRIA.HURLINGHAM 5TA</t>
  </si>
  <si>
    <t>GERVASIO PAVON</t>
  </si>
  <si>
    <t>CRIA.MORON 4TA</t>
  </si>
  <si>
    <t>VILLA SARMIENTO</t>
  </si>
  <si>
    <t>CRIA.MORON 5TA</t>
  </si>
  <si>
    <t>VILLA ARIZA</t>
  </si>
  <si>
    <t>CRIA.ITUZAINGO 2DA</t>
  </si>
  <si>
    <t>LAS CABANAS</t>
  </si>
  <si>
    <t>CRIA.ITUZAINGO 3RA</t>
  </si>
  <si>
    <t>Bº SAN ALBERTO</t>
  </si>
  <si>
    <t>CRIA.ITUZAINGO 4TA</t>
  </si>
  <si>
    <t>WILLAMS MORRIS</t>
  </si>
  <si>
    <t>CRIA.HURLINGHAM 3RA</t>
  </si>
  <si>
    <t>JEF.DISTRITAL MORON</t>
  </si>
  <si>
    <t>JEF.DISTRITAL MERLO</t>
  </si>
  <si>
    <t>CRIA.MUJER y FLIA.MERLO</t>
  </si>
  <si>
    <t>JEF.DISTRITAL HURLINGHAN</t>
  </si>
  <si>
    <t>CRIA.MUJER y FLIA.HURLINGHAM</t>
  </si>
  <si>
    <t>JEF.DISTRITAL ITUZAINGO</t>
  </si>
  <si>
    <t>LANUS OESTE</t>
  </si>
  <si>
    <t>CRIA.LANUS 1RA</t>
  </si>
  <si>
    <t>LANUS ESTE</t>
  </si>
  <si>
    <t>CRIA.LANUS 2DA</t>
  </si>
  <si>
    <t>VALENTIN ALSINA</t>
  </si>
  <si>
    <t>CRIA.LANUS 3RA</t>
  </si>
  <si>
    <t>REMEDIOS DE ESCALADA</t>
  </si>
  <si>
    <t>CRIA.LANUS 4TA</t>
  </si>
  <si>
    <t>VILLA DIAMANTE</t>
  </si>
  <si>
    <t>CRIA.LANUS 5TA</t>
  </si>
  <si>
    <t>MONTE CHINGOLO</t>
  </si>
  <si>
    <t>CRIA.LANUS 6TA</t>
  </si>
  <si>
    <t>VILLA INDUSTRIALES</t>
  </si>
  <si>
    <t>CRIA.LANUS 7MA</t>
  </si>
  <si>
    <t>VILLA OBRERA</t>
  </si>
  <si>
    <t>CRIA.LANUS 8VA</t>
  </si>
  <si>
    <t>VILLA CARAZA</t>
  </si>
  <si>
    <t>CRIA.LANUS 9NA</t>
  </si>
  <si>
    <t>VILLA BARCELO</t>
  </si>
  <si>
    <t>CRIA.LANUS 10MA</t>
  </si>
  <si>
    <t>CRIA.LOMAS DE ZAMORA 1RA</t>
  </si>
  <si>
    <t>LOMAS DE ZAMORA</t>
  </si>
  <si>
    <t>CRIA.MUJER y FLIA.LANUS</t>
  </si>
  <si>
    <t>BANFIELD</t>
  </si>
  <si>
    <t>CRIA.LOMAS DE ZAMORA 2DA</t>
  </si>
  <si>
    <t>TEMPERLEY</t>
  </si>
  <si>
    <t>CRIA.LOMAS DE ZAMORA 3RA</t>
  </si>
  <si>
    <t>TURDERA</t>
  </si>
  <si>
    <t>DTO.TURDERA</t>
  </si>
  <si>
    <t>LAVALLOL</t>
  </si>
  <si>
    <t>CRIA.LOMAS DE ZAMORA 4TA</t>
  </si>
  <si>
    <t>VILLA FIORITO</t>
  </si>
  <si>
    <t>CRIA.LOMAS DE ZAMORA 5TA</t>
  </si>
  <si>
    <t>SAN JOSE (TEMPERLEY)</t>
  </si>
  <si>
    <t>CRIA.LOMAS DE ZAMORA 6TA</t>
  </si>
  <si>
    <t>CRIA.LOMAS DE ZAMORA 7MA</t>
  </si>
  <si>
    <t>VILLA GALICIA</t>
  </si>
  <si>
    <t>CRIA.LOMAS DE ZAMORA 8VA</t>
  </si>
  <si>
    <t>PARQUE BARON</t>
  </si>
  <si>
    <t>CRIA.LOMAS DE ZAMORA 9NA</t>
  </si>
  <si>
    <t>INGENIERO BUDGE</t>
  </si>
  <si>
    <t>CRIA.LOMAS DE ZAMORA 10MA</t>
  </si>
  <si>
    <t>CRIA.MUJER y FLIA.L.DE ZAMORA</t>
  </si>
  <si>
    <t>JEF.DISTRITAL LANUS</t>
  </si>
  <si>
    <t>JEF.DISTRITAL L.DE ZAMORA NORT</t>
  </si>
  <si>
    <t>JEF.DISTRITAL L.DE ZAMORA SUR</t>
  </si>
  <si>
    <t>JEF.DISTRITAL LOMAS DE ZAMORA</t>
  </si>
  <si>
    <t>CRIA.AVELLANEDA 1RA</t>
  </si>
  <si>
    <t>CRIA.AVELLANEDA 2DA</t>
  </si>
  <si>
    <t>DOCK SUD</t>
  </si>
  <si>
    <t>CRIA.AVELLANEDA 3RA</t>
  </si>
  <si>
    <t>SARANDI</t>
  </si>
  <si>
    <t>CRIA.AVELLANEDA 4TA</t>
  </si>
  <si>
    <t>WILDE</t>
  </si>
  <si>
    <t>CRIA.AVELLANEDA 5TA</t>
  </si>
  <si>
    <t>GERLI</t>
  </si>
  <si>
    <t>CRIA.AVELLANEDA 6TA</t>
  </si>
  <si>
    <t>VILLA DOMINICO</t>
  </si>
  <si>
    <t>CRIA.AVELLANEDA 7MA</t>
  </si>
  <si>
    <t>JEF.DISTRITAL AVELLANEDA</t>
  </si>
  <si>
    <t>DTO.OPERATIVO DOCK SUD</t>
  </si>
  <si>
    <t>CRIA.MUJER y FLIA.AVELLANEDA</t>
  </si>
  <si>
    <t>TRISTAN SUAREZ</t>
  </si>
  <si>
    <t>CRIA.MUJER y FLIA.EZEIZA</t>
  </si>
  <si>
    <t>EZEIZA</t>
  </si>
  <si>
    <t>CRIA.SAN MARTIN 1RA</t>
  </si>
  <si>
    <t>VILLA BALLESTER</t>
  </si>
  <si>
    <t>CRIA.SAN MARTIN 2DA</t>
  </si>
  <si>
    <t>VILLA LYNCH</t>
  </si>
  <si>
    <t>CRIA.SAN MARTIN 3RA</t>
  </si>
  <si>
    <t>JOSE LEON SUAREZ</t>
  </si>
  <si>
    <t>CRIA.SAN MARTIN 4TA</t>
  </si>
  <si>
    <t>BILLINGHURST</t>
  </si>
  <si>
    <t>CRIA.SAN MARTIN 5TA</t>
  </si>
  <si>
    <t>VILLA MAIPU</t>
  </si>
  <si>
    <t>CRIA.SAN MARTIN 6TA</t>
  </si>
  <si>
    <t>VILLA CONCEPCION</t>
  </si>
  <si>
    <t>CRIA.SAN MARTIN 8VA</t>
  </si>
  <si>
    <t>ESTACION SAN ANDRES</t>
  </si>
  <si>
    <t>PTO.VIG.ESTACION SAN ANDRES</t>
  </si>
  <si>
    <t>VILLA BALLESTER OESTE</t>
  </si>
  <si>
    <t>CRIA.SAN MARTIN 9NA</t>
  </si>
  <si>
    <t>CASEROS</t>
  </si>
  <si>
    <t>CRIA.TRES DE FEBRERO 1RA</t>
  </si>
  <si>
    <t>CIUDADELA</t>
  </si>
  <si>
    <t>CRIA.TRES DE FEBRERO 2DA</t>
  </si>
  <si>
    <t>DTO.CIUDADELA SUR</t>
  </si>
  <si>
    <t>SANTOS LUGARES</t>
  </si>
  <si>
    <t>CRIA.TRES DE FEBRERO 3RA</t>
  </si>
  <si>
    <t>VILLA PINERAL</t>
  </si>
  <si>
    <t>CRIA.TRES DE FEBRERO 4TA</t>
  </si>
  <si>
    <t>EUFRACIO ALVAREZ (LOMA HERMOSA</t>
  </si>
  <si>
    <t>CRIA.TRES DE FEBRERO 5TA</t>
  </si>
  <si>
    <t>CIUDADELA NORTE</t>
  </si>
  <si>
    <t>CRIA.TRES DE FEBRERO 6TA</t>
  </si>
  <si>
    <t>LOMAS DEL PALOMAR</t>
  </si>
  <si>
    <t>CRIA.TRES DE FEBRERO 7MA</t>
  </si>
  <si>
    <t>JOSE INGENIEROS</t>
  </si>
  <si>
    <t>CRIA.TRES DE FEBRERO 8VA</t>
  </si>
  <si>
    <t>VILLA BOSCH</t>
  </si>
  <si>
    <t>CRIA.TRES DE FEBRERO 9NA</t>
  </si>
  <si>
    <t>SAENZ PENA</t>
  </si>
  <si>
    <t>CRIA.TRES DE FEBRERO 10MA</t>
  </si>
  <si>
    <t>JEF.DISTRITAL SAN MARTIN</t>
  </si>
  <si>
    <t>JEF.DISTRITAL TRES DE FEBRERO</t>
  </si>
  <si>
    <t>SUBCRIA.JOSE LEON SUAREZ SUR</t>
  </si>
  <si>
    <t>CRIA.MUJER y FLIA.SAN MARTIN</t>
  </si>
  <si>
    <t>DTO.POL.FEMENINA SAN MARTIN</t>
  </si>
  <si>
    <t>TRENQUE LAUQUEN</t>
  </si>
  <si>
    <t>CRIA.MUJER y FLIA.T.LAUQUEN</t>
  </si>
  <si>
    <t>BALCARCE</t>
  </si>
  <si>
    <t>EST.POL.COM.BALCARCE</t>
  </si>
  <si>
    <t>JEF.POL.COM.BALCARCE</t>
  </si>
  <si>
    <t>LOS PINOS</t>
  </si>
  <si>
    <t>DTO.LOS PINOS</t>
  </si>
  <si>
    <t>RAMOS OTERO</t>
  </si>
  <si>
    <t>DTO.RAMOS OTERO</t>
  </si>
  <si>
    <t>SAN AGUSTIN</t>
  </si>
  <si>
    <t>PTO.VIG.SAN AGUSTIN</t>
  </si>
  <si>
    <t>NAPALEUFU</t>
  </si>
  <si>
    <t>PTO.VIG.NAPALEUFU</t>
  </si>
  <si>
    <t>MIRAMAR</t>
  </si>
  <si>
    <t>EST.POL.COM.MIRAMAR</t>
  </si>
  <si>
    <t>GENERAL ALVARADO</t>
  </si>
  <si>
    <t>JEF.POL.COM.MIRAMAR</t>
  </si>
  <si>
    <t>COMANDANTE NICANOR OTAMENDI</t>
  </si>
  <si>
    <t>SUBESTACION OTAMENDI</t>
  </si>
  <si>
    <t>MECHONGUE</t>
  </si>
  <si>
    <t>SUBESTACION MECHONGUE</t>
  </si>
  <si>
    <t>BARRIO COPACABANA</t>
  </si>
  <si>
    <t>DTO.COPACABANA</t>
  </si>
  <si>
    <t>PARQUE BRISTOL</t>
  </si>
  <si>
    <t>DTO.PARQUE BRISTOL</t>
  </si>
  <si>
    <t>DTO.LAS FLORES (Mar del Plata)</t>
  </si>
  <si>
    <t>MAR DEL SUD</t>
  </si>
  <si>
    <t>PTO.VIG.MAR DEL SUR</t>
  </si>
  <si>
    <t>PATRULLA RURAL MIRAMAR</t>
  </si>
  <si>
    <t>MAR DEL PLATA</t>
  </si>
  <si>
    <t>CRIA.MAR DEL PLATA 1RA</t>
  </si>
  <si>
    <t>GENERAL PUEYRREDON</t>
  </si>
  <si>
    <t>SUBCRIA.CASINO</t>
  </si>
  <si>
    <t>CRIA.MAR DEL PLATA 2DA</t>
  </si>
  <si>
    <t>DTO.ESTACION TERMINAL(M.D.P)</t>
  </si>
  <si>
    <t>CRIA.MAR DEL PLATA 3RA</t>
  </si>
  <si>
    <t>CRIA.MAR DEL PLATA 4TA</t>
  </si>
  <si>
    <t>DTO.FERROCARRIL NORTE (M.D.P)</t>
  </si>
  <si>
    <t>CRIA.MAR DEL PLATA 12DA</t>
  </si>
  <si>
    <t>JEF.DISTRIT.M.DEL PLATA NORTE</t>
  </si>
  <si>
    <t>JEF.DISTRIT.M.DEL PLATA SUR</t>
  </si>
  <si>
    <t>CRIA.MAR DEL PLATA 5TA</t>
  </si>
  <si>
    <t>PLAYA SERENA</t>
  </si>
  <si>
    <t>CRIA.MAR DEL PLATA 13RA</t>
  </si>
  <si>
    <t>EL MARQUESADO</t>
  </si>
  <si>
    <t>DTO.EL MARQUESADO</t>
  </si>
  <si>
    <t>LOS ACANTILADOS</t>
  </si>
  <si>
    <t>DTO.LOS ACANTILADOS</t>
  </si>
  <si>
    <t>CRIA.MAR DEL PLATA 6TA</t>
  </si>
  <si>
    <t>9 DE JULIO</t>
  </si>
  <si>
    <t>CAISAMAR</t>
  </si>
  <si>
    <t>CRIA.MAR DEL PLATA 7MA</t>
  </si>
  <si>
    <t>BATAN</t>
  </si>
  <si>
    <t>CRIA.MAR DEL PLATA 8VA</t>
  </si>
  <si>
    <t>SIERRA DE LOS PADRES</t>
  </si>
  <si>
    <t>CRIA.MAR DEL PLATA 14TA</t>
  </si>
  <si>
    <t>ESTACION CHAPADMALAL</t>
  </si>
  <si>
    <t>DTO.CHAPADMALAL</t>
  </si>
  <si>
    <t>PARQUE HERMOSO</t>
  </si>
  <si>
    <t>SUBCRIA.PARQUE HERMOSO</t>
  </si>
  <si>
    <t>PLAYA GRANDE</t>
  </si>
  <si>
    <t>CRIA.MAR DEL PLATA 9NA</t>
  </si>
  <si>
    <t>CAMET</t>
  </si>
  <si>
    <t>CRIA.MAR DEL PLATA 15TA</t>
  </si>
  <si>
    <t>CRIA.MAR DEL PLATA 16TA</t>
  </si>
  <si>
    <t>LOBERIA</t>
  </si>
  <si>
    <t>EST.POL.COM.LOBERIA</t>
  </si>
  <si>
    <t>CRIA.MAR DEL PLATA 11RA</t>
  </si>
  <si>
    <t>JEF.POL.COM.LOBERIA</t>
  </si>
  <si>
    <t>DTO.SAN MANUEL</t>
  </si>
  <si>
    <t>PATRULLA RURAL ARENAS VERDES</t>
  </si>
  <si>
    <t>SUBESTACION LIC.MATIENZO</t>
  </si>
  <si>
    <t>CORONEL VIDAL</t>
  </si>
  <si>
    <t>EST.POL.COM.CORONEL VIDAL</t>
  </si>
  <si>
    <t>MAR CHIQUITA</t>
  </si>
  <si>
    <t>JEF.POL.COM.CORONEL VIDAL</t>
  </si>
  <si>
    <t>CNEL.VIDAL</t>
  </si>
  <si>
    <t>SUBESTACION GRAL.PIRAN</t>
  </si>
  <si>
    <t>SANTA CLARA DEL MAR</t>
  </si>
  <si>
    <t>SUBESTACION STA.CLARA DEL MAR</t>
  </si>
  <si>
    <t>DTO.MAR CHIQUITA</t>
  </si>
  <si>
    <t>VIVORATA</t>
  </si>
  <si>
    <t>PTO.VIG.VIVORATA</t>
  </si>
  <si>
    <t>NECOCHEA</t>
  </si>
  <si>
    <t>CRIA.NECOCHEA 1RA</t>
  </si>
  <si>
    <t>CRIA.NECOCHEA 3RA</t>
  </si>
  <si>
    <t>NICANOR OLIVERA</t>
  </si>
  <si>
    <t>DTO.LA DULCE</t>
  </si>
  <si>
    <t>SUBCRIA.J.N.FERNANDEZ</t>
  </si>
  <si>
    <t>CLARAZ</t>
  </si>
  <si>
    <t>PTO.VIG.CLARAZ</t>
  </si>
  <si>
    <t>PTO.VIG.SANTAMARINA</t>
  </si>
  <si>
    <t>QUEQUEN</t>
  </si>
  <si>
    <t>CRIA.NECOCHEA 2DA</t>
  </si>
  <si>
    <t>PTO.VIG.COSTA BONITA</t>
  </si>
  <si>
    <t>SAN CAYETANO</t>
  </si>
  <si>
    <t>EST.POL.COM.SAN CAYETANO</t>
  </si>
  <si>
    <t>PTO.VIG.BALNEARIO SAN CAYETANO</t>
  </si>
  <si>
    <t>PTO.VIG.DEFERRARI</t>
  </si>
  <si>
    <t>PTO.VIG.CRISTIANO MUERTO</t>
  </si>
  <si>
    <t>JEF.POL.COM.SAN CAYETANO</t>
  </si>
  <si>
    <t>JEF.DISTRITAL MAR DEL PLATA</t>
  </si>
  <si>
    <t>DTO.POL.FEMENINA M.DEL PLATA</t>
  </si>
  <si>
    <t>CRIA.MUJER y FLIA.M.D.PLATA</t>
  </si>
  <si>
    <t>BAHIA BLANCA</t>
  </si>
  <si>
    <t>CRIA.BAHIA BLANCA 1RA</t>
  </si>
  <si>
    <t>CRIA.BAHIA BLANCA 2DA</t>
  </si>
  <si>
    <t>DTO.PALIHUE</t>
  </si>
  <si>
    <t>CABILDO</t>
  </si>
  <si>
    <t>DTO.CABILDO</t>
  </si>
  <si>
    <t>INGENIERO WHITE</t>
  </si>
  <si>
    <t>CRIA.BAHIA BLANCA 3RA</t>
  </si>
  <si>
    <t>SUBCRIA.VILLA ROSAS</t>
  </si>
  <si>
    <t>CRIA.BAHIA BLANCA 4TA</t>
  </si>
  <si>
    <t>DTO.HARDEN GREEN</t>
  </si>
  <si>
    <t>CRIA.BAHIA BLANCA 5TA</t>
  </si>
  <si>
    <t>GENERAL CERRI</t>
  </si>
  <si>
    <t>SUBCRIA.GRAL.CERRI</t>
  </si>
  <si>
    <t>ADOLFO ALSINA</t>
  </si>
  <si>
    <t>EST.POL.COM.ADOLFO ALSINA</t>
  </si>
  <si>
    <t>CARHUE</t>
  </si>
  <si>
    <t>JEF.POL.COM.ADOLFO ALSINA</t>
  </si>
  <si>
    <t>RIVERA</t>
  </si>
  <si>
    <t>DTO.RIVERA (Caruhé)</t>
  </si>
  <si>
    <t>VILLA MAZA</t>
  </si>
  <si>
    <t>DTO.VILLA MAZA</t>
  </si>
  <si>
    <t>S.MIGUEL ARCANGEL</t>
  </si>
  <si>
    <t>PTO.VIG.S.M.ARCANGEL</t>
  </si>
  <si>
    <t>CARMEN DE PATAGONES</t>
  </si>
  <si>
    <t>EST.POL.COM.C.DE PATAGONES</t>
  </si>
  <si>
    <t>JEF.POL.COM.C.DE PATAGONES</t>
  </si>
  <si>
    <t>VILLALONGA</t>
  </si>
  <si>
    <t>SUBESTACION VILLALONGA</t>
  </si>
  <si>
    <t>STROEDER</t>
  </si>
  <si>
    <t>DTO.STROEDER</t>
  </si>
  <si>
    <t>SAN BLAS</t>
  </si>
  <si>
    <t>DTO.BAHIA SAN BLAS</t>
  </si>
  <si>
    <t>PRADERE</t>
  </si>
  <si>
    <t>PTO.VIG.PRADERE</t>
  </si>
  <si>
    <t>CARDENAL CAGLIERO</t>
  </si>
  <si>
    <t>PTO.VIG.CARD.CAGLIERO</t>
  </si>
  <si>
    <t>CORONEL ROSALES</t>
  </si>
  <si>
    <t>EST.POL.COM.CORONEL ROSALES</t>
  </si>
  <si>
    <t>JEF.POL.COM.CORONEL ROSALES</t>
  </si>
  <si>
    <t>PEHUENCO</t>
  </si>
  <si>
    <t>DTO.PEHUENCO</t>
  </si>
  <si>
    <t>BAJO HONDO</t>
  </si>
  <si>
    <t>PTO.VIG.BAJO HONDO</t>
  </si>
  <si>
    <t>VILLA ARIAS</t>
  </si>
  <si>
    <t>DTO.VILLA ARIAS</t>
  </si>
  <si>
    <t>PTO.VIG.ZONA NORTE</t>
  </si>
  <si>
    <t>CORONEL SUAREZ</t>
  </si>
  <si>
    <t>EST.POL.COM.CORONEL SUAREZ</t>
  </si>
  <si>
    <t>JEF.POL.COM.CORONEL SUAREZ</t>
  </si>
  <si>
    <t>CRIA.MUJER y FLIA.CNEL.SUAREZ</t>
  </si>
  <si>
    <t>CRIA.MUJER y FLIA.G.LAMADRID</t>
  </si>
  <si>
    <t>HUANGUELEN</t>
  </si>
  <si>
    <t>SUBESTACION HUANGUELEN</t>
  </si>
  <si>
    <t>SAN JOSE</t>
  </si>
  <si>
    <t>DTO.SAN JOSE</t>
  </si>
  <si>
    <t>SANTA MARIA</t>
  </si>
  <si>
    <t>PTO.VIG.SANTA MARIA</t>
  </si>
  <si>
    <t>PTO.VIG.CURA MALAL</t>
  </si>
  <si>
    <t>PARAJE SAN ELOY</t>
  </si>
  <si>
    <t>PTO.VIG.SAN ELOY</t>
  </si>
  <si>
    <t>PATRULLA RURAL CORONEL SUAREZ</t>
  </si>
  <si>
    <t>GUAMINI</t>
  </si>
  <si>
    <t>EST.POL.COM.GUAMINI 1RA</t>
  </si>
  <si>
    <t>PTO.VIG.ARROYO VENADO</t>
  </si>
  <si>
    <t>CASBAS</t>
  </si>
  <si>
    <t>EST.POL.COM.GUAMINI 2DA</t>
  </si>
  <si>
    <t>25 DE MAYO</t>
  </si>
  <si>
    <t>GRUPO APOYO DPTAL.25 DE MAYO</t>
  </si>
  <si>
    <t>ALMIRANTE BROWN</t>
  </si>
  <si>
    <t>GRUPO APOYO DPTAL.ALTE.BROWN</t>
  </si>
  <si>
    <t>GUERNICA</t>
  </si>
  <si>
    <t>GRUPO APOYO DPTAL.SAN VICENTE</t>
  </si>
  <si>
    <t>CAÑUELAS</t>
  </si>
  <si>
    <t>CHASCOMUS</t>
  </si>
  <si>
    <t>GRUPO APOYO DPTAL.CHASCOMUS</t>
  </si>
  <si>
    <t>GRUPO APOYO DPTAL.CNEL.SUAREZ</t>
  </si>
  <si>
    <t>DOLORES</t>
  </si>
  <si>
    <t>GRUPO APOYO DPTAL.DOLORES</t>
  </si>
  <si>
    <t>CAPILLA DEL SEÑOR</t>
  </si>
  <si>
    <t>GRUPO APOYO DPTAL.E.DE LA CRUZ</t>
  </si>
  <si>
    <t>EXALTACION DE LA CRUZ</t>
  </si>
  <si>
    <t>GRUPO APOYO DPTAL.GUAMINI</t>
  </si>
  <si>
    <t>GRUPO APOYO DPTAL.M.DEL PLATA</t>
  </si>
  <si>
    <t>GRUPO APOYO DPTAL.MERLO</t>
  </si>
  <si>
    <t>GRUPO APOYO DPTAL.MORENO</t>
  </si>
  <si>
    <t>GRUPO APOYO DPTAL.NECOCHEA</t>
  </si>
  <si>
    <t>PINAMAR</t>
  </si>
  <si>
    <t>GRUPO APOYO DPTAL.PINAMAR</t>
  </si>
  <si>
    <t>TANDIL</t>
  </si>
  <si>
    <t>GRUPO APOYO DPTAL.TANDIL</t>
  </si>
  <si>
    <t>GRUPO APOYO DPTAL.T.LAUQUEN</t>
  </si>
  <si>
    <t>GRUPO APOYO DPTAL.TRES ARROYOS</t>
  </si>
  <si>
    <t>BONIFACIO</t>
  </si>
  <si>
    <t>DTO.BONIFACIO</t>
  </si>
  <si>
    <t>COCHICO</t>
  </si>
  <si>
    <t>PTO.VIG.COCHICO</t>
  </si>
  <si>
    <t>JEF.POL.COM.GUAMINI</t>
  </si>
  <si>
    <t>PUAN</t>
  </si>
  <si>
    <t>EST.POL.COM.PUAN</t>
  </si>
  <si>
    <t>JEF.POL.COM.PUAN</t>
  </si>
  <si>
    <t>DARRAGUEIRA</t>
  </si>
  <si>
    <t>EST.POL.COM.PUAN 2DA</t>
  </si>
  <si>
    <t>VILLA IRIS</t>
  </si>
  <si>
    <t>SUBESTACION VILLA IRIS</t>
  </si>
  <si>
    <t>BORDENAVE</t>
  </si>
  <si>
    <t>DTO.BORDENAVE</t>
  </si>
  <si>
    <t>SAN GERMAN</t>
  </si>
  <si>
    <t>PTO.VIG.SAN GERMAN</t>
  </si>
  <si>
    <t>17 DE AGOSTO</t>
  </si>
  <si>
    <t>PTO.VIG.17 DE AGOSTO</t>
  </si>
  <si>
    <t>FELIPE SOLA</t>
  </si>
  <si>
    <t>PTO.VIG.FELIPE SOLA</t>
  </si>
  <si>
    <t>PATRULLA RURAL PUAN</t>
  </si>
  <si>
    <t>CRIA.SAAVEDRA-PIGUE</t>
  </si>
  <si>
    <t>SAAVEDRA</t>
  </si>
  <si>
    <t>JEF.DISTRITAL SAAVEDRA</t>
  </si>
  <si>
    <t>SUBCRIA.SAAVEDRA</t>
  </si>
  <si>
    <t>ARROYO CORTO</t>
  </si>
  <si>
    <t>PTO.VIG.ARROYO CORTO</t>
  </si>
  <si>
    <t>ESPARTILLAR</t>
  </si>
  <si>
    <t>PTO.VIG.ESPARTILLAR</t>
  </si>
  <si>
    <t>DUFAUR</t>
  </si>
  <si>
    <t>PTO.VIG.DUFAUR</t>
  </si>
  <si>
    <t>GOYENA</t>
  </si>
  <si>
    <t>PTO.VIG.GOYENA</t>
  </si>
  <si>
    <t>TORNQUIST</t>
  </si>
  <si>
    <t>EST.POL.COM.TORNQUIST</t>
  </si>
  <si>
    <t>JEF.POL.COM.TORNQUIST</t>
  </si>
  <si>
    <t>SIERRA DE LA VENTANA</t>
  </si>
  <si>
    <t>SUBESTACION SIERRA LA VENTANA</t>
  </si>
  <si>
    <t>PATRULLA RURAL TORNQUIST</t>
  </si>
  <si>
    <t>SALDUNGARAY</t>
  </si>
  <si>
    <t>SUBESTACION SALDUNGARAY</t>
  </si>
  <si>
    <t>CHASICO</t>
  </si>
  <si>
    <t>PTO.VIG.CHASICO</t>
  </si>
  <si>
    <t>TRES PICOS</t>
  </si>
  <si>
    <t>PTO.VIG.TRES PICOS</t>
  </si>
  <si>
    <t>NUEVA ROMA</t>
  </si>
  <si>
    <t>PTO.VIG.NUEVA ROMA</t>
  </si>
  <si>
    <t>VILLA VENTANA</t>
  </si>
  <si>
    <t>PTO.VIG.VILLA VENTANA</t>
  </si>
  <si>
    <t>MEDANOS</t>
  </si>
  <si>
    <t>EST.POL.COM.VILLARINO 1RA</t>
  </si>
  <si>
    <t>VILLARINO</t>
  </si>
  <si>
    <t>JEF.POL.COM.VILLARINO</t>
  </si>
  <si>
    <t>PATRULLA RURAL VILLARINO</t>
  </si>
  <si>
    <t>MAYOR BURATOVICH</t>
  </si>
  <si>
    <t>SUBESTACION MAYOR BURATOVICH</t>
  </si>
  <si>
    <t>PEDRO LURO</t>
  </si>
  <si>
    <t>EST.POL.COM.VILLARINO 2DA</t>
  </si>
  <si>
    <t>ALGARROBO</t>
  </si>
  <si>
    <t>DTO.ALGARROBO</t>
  </si>
  <si>
    <t>HILARIO ASCASUBI</t>
  </si>
  <si>
    <t>DTO.HILARIO ASCASUBI</t>
  </si>
  <si>
    <t>PTO.VIG.LA SALADA</t>
  </si>
  <si>
    <t>TENIENTE ORIGONE</t>
  </si>
  <si>
    <t>PTO.VIG.ORIGONE</t>
  </si>
  <si>
    <t>GONZALEZ CHAVES</t>
  </si>
  <si>
    <t>EST.POL.COM.GONZALEZ CHAVES</t>
  </si>
  <si>
    <t>GONZALES CHAVEZ</t>
  </si>
  <si>
    <t>JEF.POL.COM.GONZALEZ CHAVES</t>
  </si>
  <si>
    <t>DE LA GARMA</t>
  </si>
  <si>
    <t>DTO.DE LA GARMA</t>
  </si>
  <si>
    <t>JUAN E.BARRA</t>
  </si>
  <si>
    <t>PTO.VIG.JUAN E.BARRA</t>
  </si>
  <si>
    <t>CORONEL DORREGO</t>
  </si>
  <si>
    <t>CRIA.CORONEL DORREGO</t>
  </si>
  <si>
    <t>JEF.DISTRITAL CORONEL DORREGO</t>
  </si>
  <si>
    <t>ORIENTE</t>
  </si>
  <si>
    <t>SUBCRIA.ORIENTE</t>
  </si>
  <si>
    <t>J. A. GUISASOLA</t>
  </si>
  <si>
    <t>DTO.EL PERDIDO</t>
  </si>
  <si>
    <t>PTO.VIG.APARICIO</t>
  </si>
  <si>
    <t>CORONEL PRINGLES</t>
  </si>
  <si>
    <t>EST.POL.COM.CORONEL PRINGLES</t>
  </si>
  <si>
    <t>JEF.POL.COM.CORONEL PRINGLES</t>
  </si>
  <si>
    <t>INDIO RICO</t>
  </si>
  <si>
    <t>DTO.INDIO RICO</t>
  </si>
  <si>
    <t>LARTIGAU</t>
  </si>
  <si>
    <t>PTO.VIG.LARTIGAU</t>
  </si>
  <si>
    <t>PATRULLA RURAL CNEL.PRINGLES</t>
  </si>
  <si>
    <t>PTO.AVANZADA LA VIRGINIA</t>
  </si>
  <si>
    <t>PT.AVANZADA PERALTA</t>
  </si>
  <si>
    <t>PT.AVANZADA GRAL.LAMADRID</t>
  </si>
  <si>
    <t>MONTE HERMOSO</t>
  </si>
  <si>
    <t>EST.POL.COM.MONTE HERMOSO</t>
  </si>
  <si>
    <t>JEF.POL.COM.MONTE HERMOSO</t>
  </si>
  <si>
    <t>EST.POL.COM.TRES ARROYOS 1RA</t>
  </si>
  <si>
    <t>JEF.POL.COM.TRES ARROYOS</t>
  </si>
  <si>
    <t>SAN MAYOL</t>
  </si>
  <si>
    <t>PTO.VIG.SAN MAYOL</t>
  </si>
  <si>
    <t>CASCALLARES</t>
  </si>
  <si>
    <t>PTO.VIG.CASCALLARES</t>
  </si>
  <si>
    <t>CLAROMECO</t>
  </si>
  <si>
    <t>EST.POL.COM.TRES ARROYOS 2DA</t>
  </si>
  <si>
    <t>ORENSE</t>
  </si>
  <si>
    <t>SUBESTACION ORENSE</t>
  </si>
  <si>
    <t>LAS COPETONAS</t>
  </si>
  <si>
    <t>PTO.VIG.LAS COPETONAS</t>
  </si>
  <si>
    <t>SAN FCO.BELLOQ</t>
  </si>
  <si>
    <t>PTO.VIG.SAN FCO.BELLOQ</t>
  </si>
  <si>
    <t>BALNEARIO LA RETA</t>
  </si>
  <si>
    <t>PTO.VIG.LA RETA</t>
  </si>
  <si>
    <t>JEF.DISTRITAL B.BLANCA ESTE</t>
  </si>
  <si>
    <t>JEF.DISTRITAL B.BLANCA OESTE</t>
  </si>
  <si>
    <t>CRIA.MUJER y FLIA.B.BLANCA</t>
  </si>
  <si>
    <t>CRIA.LA PLATA 1RA</t>
  </si>
  <si>
    <t>CRIA.LA PLATA 2DA</t>
  </si>
  <si>
    <t>CRIA.LA PLATA 3RA</t>
  </si>
  <si>
    <t>CRIA.LA PLATA 4TA</t>
  </si>
  <si>
    <t>CRIA.LA PLATA 5TA</t>
  </si>
  <si>
    <t>SUBCRIA.ARANA</t>
  </si>
  <si>
    <t>JD_01_SAN_NICOLAS</t>
  </si>
  <si>
    <t>JD_02_PERGAMINO</t>
  </si>
  <si>
    <t>JD_03_JUNIN</t>
  </si>
  <si>
    <t>JD_04_TRENQUE_LAUQUEN</t>
  </si>
  <si>
    <t>JD_05_ZARATE_CAMPANA</t>
  </si>
  <si>
    <t>JD_06_MERCEDES</t>
  </si>
  <si>
    <t>JD_07_PEHUAJO</t>
  </si>
  <si>
    <t>JD_08_SAN_VICENTE</t>
  </si>
  <si>
    <t>JD_10_CHASCOMUS</t>
  </si>
  <si>
    <t>JD_11_AZUL</t>
  </si>
  <si>
    <t>JD_12_GUAMINI</t>
  </si>
  <si>
    <t>JD_13_PINAMAR</t>
  </si>
  <si>
    <t>JD_14_TANDIL</t>
  </si>
  <si>
    <t>JD_15_MAR_DEL_PLATA</t>
  </si>
  <si>
    <t>JD_16_NECOCHEA</t>
  </si>
  <si>
    <t>JD_17_TRES_ARROYOS</t>
  </si>
  <si>
    <t>JD_18_CORONEL_SUAREZ</t>
  </si>
  <si>
    <t>JD_19_BAHIA_BLANCA</t>
  </si>
  <si>
    <t>JD_20_EXALT_DE_LA_CRUZ</t>
  </si>
  <si>
    <t>JD_21_CONURBANO_NORTE</t>
  </si>
  <si>
    <t>JD_22_SAN_MARTIN</t>
  </si>
  <si>
    <t>JD_23_PILAR</t>
  </si>
  <si>
    <t>JD_24_MORENO</t>
  </si>
  <si>
    <t>JD_25_MORON</t>
  </si>
  <si>
    <t>JD_26_LA_MATANZA</t>
  </si>
  <si>
    <t>JD_27_MERLO</t>
  </si>
  <si>
    <t>JD_28_ALMIRANTE_BROWN</t>
  </si>
  <si>
    <t>JD_29_LANUS</t>
  </si>
  <si>
    <t>JD_30_LA_PLATA</t>
  </si>
  <si>
    <t>JD_31_DOLORES</t>
  </si>
  <si>
    <t>JD_32_QUILMES</t>
  </si>
  <si>
    <t>JD_09_25_DE_MAYO</t>
  </si>
  <si>
    <t>CRIA.LA PLATA 6TA</t>
  </si>
  <si>
    <t>ABASTO</t>
  </si>
  <si>
    <t>CRIA.LA PLATA 7MA</t>
  </si>
  <si>
    <t>DTO.COLONIA URQUIZA</t>
  </si>
  <si>
    <t>PTO.VIG.AVANZ.EL PELIGRO</t>
  </si>
  <si>
    <t>CRIA.LA PLATA 8VA</t>
  </si>
  <si>
    <t>CRIA.LA PLATA 16TA</t>
  </si>
  <si>
    <t>DTO.AEROPUERTO</t>
  </si>
  <si>
    <t>CRIA.LA PLATA 9NA</t>
  </si>
  <si>
    <t>CITY BELL</t>
  </si>
  <si>
    <t>CRIA.LA PLATA 10MA</t>
  </si>
  <si>
    <t>VILLA ELISA</t>
  </si>
  <si>
    <t>CRIA.LA PLATA 12DA</t>
  </si>
  <si>
    <t>DTO.ARTURO SEGUI</t>
  </si>
  <si>
    <t>M.B. GONNET</t>
  </si>
  <si>
    <t>CRIA.LA PLATA 13RA</t>
  </si>
  <si>
    <t>MELCHOR ROMERO</t>
  </si>
  <si>
    <t>CRIA.LA PLATA 14TA</t>
  </si>
  <si>
    <t>SUBCRIA.LA UNION</t>
  </si>
  <si>
    <t>RINGUELET</t>
  </si>
  <si>
    <t>CRIA.LA PLATA 11RA</t>
  </si>
  <si>
    <t>BERISSO</t>
  </si>
  <si>
    <t>CRIA.BERISSO 1RA</t>
  </si>
  <si>
    <t>LOS TALAS</t>
  </si>
  <si>
    <t>CRIA.BERISSO 2DA</t>
  </si>
  <si>
    <t>EL CARMEN</t>
  </si>
  <si>
    <t>CRIA.BERISSO 3RA</t>
  </si>
  <si>
    <t>DTO.VILLA PROGRESO</t>
  </si>
  <si>
    <t>VILLA ARGUELLO</t>
  </si>
  <si>
    <t>CRIA.BERISSO 4TA</t>
  </si>
  <si>
    <t>CORONEL BRANDSEN</t>
  </si>
  <si>
    <t>EST.POL.COM.BRANDSEN</t>
  </si>
  <si>
    <t>JEF.POL.COM.BRANDSEN</t>
  </si>
  <si>
    <t>ENSENADA</t>
  </si>
  <si>
    <t>CRIA.MUJER y FLIA.ENSENADA</t>
  </si>
  <si>
    <t>JEPPENER</t>
  </si>
  <si>
    <t>DTO.JEPPENER</t>
  </si>
  <si>
    <t>OLIDEN</t>
  </si>
  <si>
    <t>PTO.VIG.OLIDEN</t>
  </si>
  <si>
    <t>ALTAMIRANO</t>
  </si>
  <si>
    <t>PTO.VIG.ALTAMIRANO</t>
  </si>
  <si>
    <t>PTO.VIG.AVANZ.GOMEZ</t>
  </si>
  <si>
    <t>CRIA.ENSENADA 1RA</t>
  </si>
  <si>
    <t>PUNTA LARA</t>
  </si>
  <si>
    <t>CRIA.ENSENADA 2DA</t>
  </si>
  <si>
    <t>EL DIQUE</t>
  </si>
  <si>
    <t>CRIA.ENSENADA 3RA</t>
  </si>
  <si>
    <t>MAGDALENA</t>
  </si>
  <si>
    <t>EST.POL.COM.MAGDALENA</t>
  </si>
  <si>
    <t>PTO.VIG.AVANZ.ATALAYA</t>
  </si>
  <si>
    <t>PATRULLA RURAL MAGDALENA</t>
  </si>
  <si>
    <t>JEF.POL.COM.MAGDALENA</t>
  </si>
  <si>
    <t>BARTOLOME BAVIO</t>
  </si>
  <si>
    <t>SUBESTACION BARTOLOME BAVIO</t>
  </si>
  <si>
    <t>VERONICA</t>
  </si>
  <si>
    <t>EST.POL.COM.PUNTA INDIO</t>
  </si>
  <si>
    <t>PUNTA INDIO</t>
  </si>
  <si>
    <t>PATRULLA RURAL PUNTA INDIO</t>
  </si>
  <si>
    <t>JEF.POL.COM.PUNTA INDIO</t>
  </si>
  <si>
    <t>PIPINAS</t>
  </si>
  <si>
    <t>DTO.PIPINAS</t>
  </si>
  <si>
    <t>BENAVIDES</t>
  </si>
  <si>
    <t>PTO.VIG.BENAVIDES</t>
  </si>
  <si>
    <t>SAN MIGUEL DEL MONTE</t>
  </si>
  <si>
    <t>EST.POL.COM.S.MIGUEL DEL MONTE</t>
  </si>
  <si>
    <t>PTO.VIG.EL SIAZGO</t>
  </si>
  <si>
    <t>PTO.VIG.ABBOTT</t>
  </si>
  <si>
    <t>JEF.POL.COM.S.MIGUEL DEL MONTE</t>
  </si>
  <si>
    <t>PTO.VIG.CUATRO BOCAS</t>
  </si>
  <si>
    <t>GRUPO APOYO DPTAL.LA PLATA</t>
  </si>
  <si>
    <t>GRUPO MOTORIZADO</t>
  </si>
  <si>
    <t>RANCHOS</t>
  </si>
  <si>
    <t>EST.POL.COM.GENERAL PAZ</t>
  </si>
  <si>
    <t>GENERAL PAZ</t>
  </si>
  <si>
    <t>JEF.POL.COM.GENERAL PAZ</t>
  </si>
  <si>
    <t>LOMA VERDE</t>
  </si>
  <si>
    <t>DTO.LOMA VERDE</t>
  </si>
  <si>
    <t>VILLANUEVA</t>
  </si>
  <si>
    <t>DTO.VILLANUEVA</t>
  </si>
  <si>
    <t>JEF.DISTRIT.LA PLATA - CENTRO</t>
  </si>
  <si>
    <t>LISANDRO OLMOS</t>
  </si>
  <si>
    <t>CRIA.LA PLATA 15TA</t>
  </si>
  <si>
    <t>JEF.DISTRITAL ENSENADA</t>
  </si>
  <si>
    <t>JEF.DISTRIT.LA PLATA - C.BELL</t>
  </si>
  <si>
    <t>JEF.DISTRIT.LA PLATA - OESTE</t>
  </si>
  <si>
    <t>JEF.DISTRIT.LA PLATA- V.ELVIRA</t>
  </si>
  <si>
    <t>CRIA.MUJER y FLIA.LA PLATA</t>
  </si>
  <si>
    <t>JEF.DISTRITAL BERISSO</t>
  </si>
  <si>
    <t>BARADERO</t>
  </si>
  <si>
    <t>EST.POL.COM.BARADERO</t>
  </si>
  <si>
    <t>JEF.POL.COM.BARADERO</t>
  </si>
  <si>
    <t>ALSINA</t>
  </si>
  <si>
    <t>DTO.ALSINA</t>
  </si>
  <si>
    <t>IRINEO PORTELA</t>
  </si>
  <si>
    <t>PTO.VIG.IRINEO PORTELA</t>
  </si>
  <si>
    <t>SANTA COLOMA</t>
  </si>
  <si>
    <t>PTO.VIG.SANTA COLOMA</t>
  </si>
  <si>
    <t>PATRULLA RURAL BARADERO</t>
  </si>
  <si>
    <t>RAMALLO</t>
  </si>
  <si>
    <t>CRIA.RAMALLO 1RA</t>
  </si>
  <si>
    <t>JEF.DISTRITAL RAMALLO</t>
  </si>
  <si>
    <t>PEREZ MILLAN</t>
  </si>
  <si>
    <t>SUBCRIA.PEREZ MILLAN</t>
  </si>
  <si>
    <t>EL PARAISO</t>
  </si>
  <si>
    <t>PTO.VIG.EL PARAISO</t>
  </si>
  <si>
    <t>VILLA RAMALLO</t>
  </si>
  <si>
    <t>CRIA.RAMALLO 2DA</t>
  </si>
  <si>
    <t>SAN PEDRO</t>
  </si>
  <si>
    <t>VILLA GENERAL SAVIO</t>
  </si>
  <si>
    <t>PTO.VIG.GRAL.SAVIO</t>
  </si>
  <si>
    <t>SAN NICOLAS</t>
  </si>
  <si>
    <t>CRIA.SAN NICOLAS 1RA</t>
  </si>
  <si>
    <t>LA EMILIA</t>
  </si>
  <si>
    <t>DTO.LA EMILIA</t>
  </si>
  <si>
    <t>DTO.COVICO</t>
  </si>
  <si>
    <t>SIDERURGICA SOMISA</t>
  </si>
  <si>
    <t>CRIA.SAN NICOLAS 2DA</t>
  </si>
  <si>
    <t>GENERAL ROJO</t>
  </si>
  <si>
    <t>DTO.GENERAL ROJO</t>
  </si>
  <si>
    <t>CONESA</t>
  </si>
  <si>
    <t>DTO.CONESA</t>
  </si>
  <si>
    <t>CRIA.SAN NICOLAS 3RA</t>
  </si>
  <si>
    <t>CRIA.SAN PEDRO</t>
  </si>
  <si>
    <t>JEF.DISTRITAL SAN PEDRO</t>
  </si>
  <si>
    <t>SANTA LUCIA</t>
  </si>
  <si>
    <t>DTO.SANTA LUCIA</t>
  </si>
  <si>
    <t>DTO.LA TOSQUERA</t>
  </si>
  <si>
    <t>GOBERNADOR CASTRO</t>
  </si>
  <si>
    <t>DTO.GOBERNADOR CASTRO</t>
  </si>
  <si>
    <t>DTO.RIO TALA</t>
  </si>
  <si>
    <t>ARRECIFES</t>
  </si>
  <si>
    <t>CRIA.ARRECIFES</t>
  </si>
  <si>
    <t>JEF.DISTRITAL ARRECIFES</t>
  </si>
  <si>
    <t>TODD</t>
  </si>
  <si>
    <t>DTO.TODD</t>
  </si>
  <si>
    <t>VIÑA</t>
  </si>
  <si>
    <t>PTO.VIG.VIÑA</t>
  </si>
  <si>
    <t>CAPITAN SARMIENTO</t>
  </si>
  <si>
    <t>EST.POL.COM.CAPITAN SARMIENTO</t>
  </si>
  <si>
    <t>JEF.POL.COM.CAPITAN SARMIENTO</t>
  </si>
  <si>
    <t>LA LUISA</t>
  </si>
  <si>
    <t>DTO.LA LUISA</t>
  </si>
  <si>
    <t>COLON</t>
  </si>
  <si>
    <t>EST.POL.COM.COLON</t>
  </si>
  <si>
    <t>JEF.POL.COM.COLON</t>
  </si>
  <si>
    <t>PEARSON</t>
  </si>
  <si>
    <t>PTO.VIG.PEARSON</t>
  </si>
  <si>
    <t>PTO.VIG.VILLA POMAR</t>
  </si>
  <si>
    <t>SUPERINT.DE SEGURIDAD RURAL</t>
  </si>
  <si>
    <t>PATRULLA RURAL PILA</t>
  </si>
  <si>
    <t>DTO.PIEDRITAS</t>
  </si>
  <si>
    <t>CNEL.CHARLONE</t>
  </si>
  <si>
    <t>DTO.CORONEL CHARLONE</t>
  </si>
  <si>
    <t>VILLA SAUCE</t>
  </si>
  <si>
    <t>PTO.VIG.VILLA SAUCE</t>
  </si>
  <si>
    <t>SANTA ELEONORA</t>
  </si>
  <si>
    <t>PTO.VIG.SANTA ELEONORA</t>
  </si>
  <si>
    <t>SANTA REGINA</t>
  </si>
  <si>
    <t>PTO.VIG.SANTA REGINA</t>
  </si>
  <si>
    <t>VILLA SABOYA</t>
  </si>
  <si>
    <t>PTO.VIG.VILLA SABOYA</t>
  </si>
  <si>
    <t>PATRULLA RURAL GRAL.VILLEGAS</t>
  </si>
  <si>
    <t>HENDERSON</t>
  </si>
  <si>
    <t>EST.POL.COM.HENDERSON</t>
  </si>
  <si>
    <t>JEF.POL.COM.HENDERSON</t>
  </si>
  <si>
    <t>PATRULLA RURAL HENDERSON</t>
  </si>
  <si>
    <t>HERRERAS VEGAS</t>
  </si>
  <si>
    <t>PTO.VIG.HERRERA VEGAS</t>
  </si>
  <si>
    <t>HIPOLITO IRIGOYEN</t>
  </si>
  <si>
    <t>PEHUAJO</t>
  </si>
  <si>
    <t>CRIA.MUJER y FLIA.PEHUAJO</t>
  </si>
  <si>
    <t>EST.POL.COM.PEHUAJO</t>
  </si>
  <si>
    <t>PTO.VIG.GUANACO</t>
  </si>
  <si>
    <t>PATRULLA RURAL PEHUAJO</t>
  </si>
  <si>
    <t>JEF.POL.COM.PEHUAJO</t>
  </si>
  <si>
    <t>JUAN JOSE PASO</t>
  </si>
  <si>
    <t>SUBESTACION TTE.1RO.RODRIGUEZ</t>
  </si>
  <si>
    <t>FRANCISCO MADERO</t>
  </si>
  <si>
    <t>DTO.TTE.OSCAR RUBEN SACANI</t>
  </si>
  <si>
    <t>CHICLANA</t>
  </si>
  <si>
    <t>PTO.VIG.CHICLANA</t>
  </si>
  <si>
    <t>MONES CAZON</t>
  </si>
  <si>
    <t>SUBESTACION MONES CAZON</t>
  </si>
  <si>
    <t>PTO.VIG.NUEVA PLATA</t>
  </si>
  <si>
    <t>MAGDALA</t>
  </si>
  <si>
    <t>PTO.VIG.MAGDALA</t>
  </si>
  <si>
    <t>CRIA.RIVADAVIA</t>
  </si>
  <si>
    <t>CRIA.MUJER y FLIA.RIVADAVIA</t>
  </si>
  <si>
    <t>JEF.DISTRITAL RIVADAVIA</t>
  </si>
  <si>
    <t>GONZALEZ MORENO</t>
  </si>
  <si>
    <t>DTO.GONZALEZ MORENO</t>
  </si>
  <si>
    <t>FORTIN OLAVARRIA</t>
  </si>
  <si>
    <t>DTO.FORTIN OLAVARRIA</t>
  </si>
  <si>
    <t>SANSINENA</t>
  </si>
  <si>
    <t>DTO.SANSINENA</t>
  </si>
  <si>
    <t>ROOSVELT</t>
  </si>
  <si>
    <t>PTO.VIG.ROOSEVELT</t>
  </si>
  <si>
    <t>SALLIQUELO</t>
  </si>
  <si>
    <t>CRIA.SALLIQUELO</t>
  </si>
  <si>
    <t>JEF.DISTRITAL SALLIQUELO</t>
  </si>
  <si>
    <t>QUENUMA</t>
  </si>
  <si>
    <t>PTO.VIG.QUENUMA</t>
  </si>
  <si>
    <t>CRIA.MUJER y FLIA.SALLIQUELO</t>
  </si>
  <si>
    <t>CRIA.TRENQUE LAUQUEN</t>
  </si>
  <si>
    <t>30 DE AGOSTO</t>
  </si>
  <si>
    <t>SUBCRIA.30 DE AGOSTO</t>
  </si>
  <si>
    <t>BERUTTI</t>
  </si>
  <si>
    <t>DTO.BERUTTI</t>
  </si>
  <si>
    <t>GIRODIAS</t>
  </si>
  <si>
    <t>PTO.VIG.GIRODIAS</t>
  </si>
  <si>
    <t>TRES LOMAS</t>
  </si>
  <si>
    <t>CRIA.TRES LOMAS</t>
  </si>
  <si>
    <t>JEF.DISTRITAL TRES LOMAS</t>
  </si>
  <si>
    <t>EST.ING.THOMPSON</t>
  </si>
  <si>
    <t>PTO.VIG.ING.THOMPSON</t>
  </si>
  <si>
    <t>AZUL</t>
  </si>
  <si>
    <t>CRIA.AZUL 1RA</t>
  </si>
  <si>
    <t>CACHARI</t>
  </si>
  <si>
    <t>SUBCRIA.CACHARI</t>
  </si>
  <si>
    <t>CHILLAR</t>
  </si>
  <si>
    <t>SUBCRIA.CHILLAR</t>
  </si>
  <si>
    <t>BALNEARIO AZUL</t>
  </si>
  <si>
    <t>DTO.BALNEARIO AZUL</t>
  </si>
  <si>
    <t>16 DE JULIO</t>
  </si>
  <si>
    <t>PTO.VIG.16 DE JULIO</t>
  </si>
  <si>
    <t>PARISH</t>
  </si>
  <si>
    <t>PTO.VIG.PARISH</t>
  </si>
  <si>
    <t>GENERAL ALVEAR</t>
  </si>
  <si>
    <t>EST.POL.COM.GRAL.ALVEAR</t>
  </si>
  <si>
    <t>JEF.POL.COM.GRAL.ALVEAR</t>
  </si>
  <si>
    <t>SANTA ISABEL</t>
  </si>
  <si>
    <t>PTO.VIG.SANTA ISABEL</t>
  </si>
  <si>
    <t>BENITO JUAREZ</t>
  </si>
  <si>
    <t>EST.POL.COM.BENITO JUAREZ</t>
  </si>
  <si>
    <t>PTO.VIG.BARKER</t>
  </si>
  <si>
    <t>PTO.VIG.ESTACION LOPEZ</t>
  </si>
  <si>
    <t>JEF.POL.COM.BENITO JUAREZ</t>
  </si>
  <si>
    <t>VILLA CACIQUE</t>
  </si>
  <si>
    <t>SUBESTACION VILLA CACIQUE</t>
  </si>
  <si>
    <t>EL LUCHADOR</t>
  </si>
  <si>
    <t>PTO.VIG.EL LUCHADOR</t>
  </si>
  <si>
    <t>TEDIN URIBURU</t>
  </si>
  <si>
    <t>PTO.VIG.TEDIN URIBURU</t>
  </si>
  <si>
    <t>LAS FLORES</t>
  </si>
  <si>
    <t>JEF.POL.COM.LAS FLORES</t>
  </si>
  <si>
    <t>EST.POL.COM.LAS FLORES</t>
  </si>
  <si>
    <t>ROSAS</t>
  </si>
  <si>
    <t>SUBESTACION PAT.RURAL ROSAS</t>
  </si>
  <si>
    <t>OLAVARRIA</t>
  </si>
  <si>
    <t>CRIA.OLAVARRIA 1RA</t>
  </si>
  <si>
    <t>CRIA.MUJER y FLIA.OLAVARRIA</t>
  </si>
  <si>
    <t>JEF.DISTRITAL OLAVARRIA</t>
  </si>
  <si>
    <t>HINOJO</t>
  </si>
  <si>
    <t>SUBCRIA.HINOJO</t>
  </si>
  <si>
    <t>ESPIGAS</t>
  </si>
  <si>
    <t>DTO.ESPIGAS</t>
  </si>
  <si>
    <t>SIERRA CHICA</t>
  </si>
  <si>
    <t>DTO.SIERRA CHICA</t>
  </si>
  <si>
    <t>RECALDE</t>
  </si>
  <si>
    <t>PTO.VIG.RECALDE</t>
  </si>
  <si>
    <t>CRIA.OLAVARRIA 2DA</t>
  </si>
  <si>
    <t>SIERRAS BAYAS</t>
  </si>
  <si>
    <t>SUBCRIA.SIERRAS BAYAS</t>
  </si>
  <si>
    <t>LOMA NEGRA</t>
  </si>
  <si>
    <t>SUBCRIA.LOMA NEGRA</t>
  </si>
  <si>
    <t>SANTA LUISA</t>
  </si>
  <si>
    <t>PTO.VIG.SANTA LUISA</t>
  </si>
  <si>
    <t>RAUCH</t>
  </si>
  <si>
    <t>EST.POL.COM.RAUCH</t>
  </si>
  <si>
    <t>JEF.POL.COM.RAUCH</t>
  </si>
  <si>
    <t>CRIA.TANDIL 1RA</t>
  </si>
  <si>
    <t>VELA</t>
  </si>
  <si>
    <t>DTO.VELA</t>
  </si>
  <si>
    <t>GARDEY</t>
  </si>
  <si>
    <t>PTO.VIG.GARDEY</t>
  </si>
  <si>
    <t>PTO.VIG.EL DIQUE</t>
  </si>
  <si>
    <t>CRIA.TANDIL 2DA</t>
  </si>
  <si>
    <t>VILLA ITALIA</t>
  </si>
  <si>
    <t>CRIA.TANDIL 3RA</t>
  </si>
  <si>
    <t>CRIA.MUJER y FLIA.TANDIL</t>
  </si>
  <si>
    <t>TAPALQUE</t>
  </si>
  <si>
    <t>EST.POL.COM.TAPALQUE</t>
  </si>
  <si>
    <t>PTO.VIG.SAN BERNARDO</t>
  </si>
  <si>
    <t>JEF.POL.COM.TAPALQUE</t>
  </si>
  <si>
    <t>CROTTO</t>
  </si>
  <si>
    <t>PTO.VIG.CROTTO</t>
  </si>
  <si>
    <t>VELLOSO</t>
  </si>
  <si>
    <t>PTO.VIG.VELLOSO</t>
  </si>
  <si>
    <t>PTO.VIG.SAN PEDRO</t>
  </si>
  <si>
    <t>GENERAL LAMADRID</t>
  </si>
  <si>
    <t>EST.POL.COM.GRAL.LAMADRID</t>
  </si>
  <si>
    <t>LA COLINA</t>
  </si>
  <si>
    <t>PTO.VIG.LA COLINA</t>
  </si>
  <si>
    <t>LIBANO</t>
  </si>
  <si>
    <t>PTO.VIG.LIBANO</t>
  </si>
  <si>
    <t>LAS MARTINETAS</t>
  </si>
  <si>
    <t>PTO.VIG.LAS MARTINETAS</t>
  </si>
  <si>
    <t>LAPRIDA</t>
  </si>
  <si>
    <t>EST.POL.COM.LAPRIDA</t>
  </si>
  <si>
    <t>JEF.POL.COM.LAPRIDA</t>
  </si>
  <si>
    <t>SAN JORGE</t>
  </si>
  <si>
    <t>DTO.SAN JORGE</t>
  </si>
  <si>
    <t>SALADILLO</t>
  </si>
  <si>
    <t>CRIA.SALADILLO</t>
  </si>
  <si>
    <t>JEF.DISTRITAL SALADILLO</t>
  </si>
  <si>
    <t>DEL CARRIL</t>
  </si>
  <si>
    <t>DTO.DEL CARRIL</t>
  </si>
  <si>
    <t>ALVAREZ TOLEDO</t>
  </si>
  <si>
    <t>PTO.VIG.TOLEDO</t>
  </si>
  <si>
    <t>POLVAREDAS</t>
  </si>
  <si>
    <t>PTO.VIG.POLVAREDAS</t>
  </si>
  <si>
    <t>PTO.AVANZADA CAZON</t>
  </si>
  <si>
    <t>JEF.DISTRITAL AZUL</t>
  </si>
  <si>
    <t>JEF.POL.COM.GRAL.LAMADRID</t>
  </si>
  <si>
    <t>PTO.VIG.ESTEBAN GASCON</t>
  </si>
  <si>
    <t>PATRULLA RURAL ADOLFO ALSINA</t>
  </si>
  <si>
    <t>PATRULLA RURAL DAIREAUX</t>
  </si>
  <si>
    <t>PATRULLA RURAL GUAMINI</t>
  </si>
  <si>
    <t>CAMPANA</t>
  </si>
  <si>
    <t>CRIA.CAMPANA</t>
  </si>
  <si>
    <t>LOS CARDALES</t>
  </si>
  <si>
    <t>DTO.ALTO LOS CARDALES</t>
  </si>
  <si>
    <t>ESCOBAR</t>
  </si>
  <si>
    <t>CRIA.ESCOBAR 1RA</t>
  </si>
  <si>
    <t>DTO.BARRIO LOMA VERDE</t>
  </si>
  <si>
    <t>DTO.PARQUE CAZADOR</t>
  </si>
  <si>
    <t>MATHEU</t>
  </si>
  <si>
    <t>SUBCRIA.MATHEU</t>
  </si>
  <si>
    <t>INGENIERO MASCHWITZ</t>
  </si>
  <si>
    <t>CRIA.ESCOBAR 2DA</t>
  </si>
  <si>
    <t>MAQUINISTA SAVIO</t>
  </si>
  <si>
    <t>CRIA.ESCOBAR 4TA</t>
  </si>
  <si>
    <t>GARIN</t>
  </si>
  <si>
    <t>CRIA.ESCOBAR 3RA</t>
  </si>
  <si>
    <t>DTO.Bº 24 DE FEBRERO</t>
  </si>
  <si>
    <t>SAN FERNANDO</t>
  </si>
  <si>
    <t>CRIA.SAN FERNANDO 1RA</t>
  </si>
  <si>
    <t>VIRREYES</t>
  </si>
  <si>
    <t>CRIA.SAN FERNANDO 2DA</t>
  </si>
  <si>
    <t>VICTORIA</t>
  </si>
  <si>
    <t>CRIA.SAN FERNANDO 3RA</t>
  </si>
  <si>
    <t>CRIA.SAN FERNANDO 4TA</t>
  </si>
  <si>
    <t>CRIA.TIGRE 1RA</t>
  </si>
  <si>
    <t>SUBCRIA.DELTA</t>
  </si>
  <si>
    <t>DTO.RINCON DE MILBERG</t>
  </si>
  <si>
    <t>GENERAL PACHECO</t>
  </si>
  <si>
    <t>CRIA.TIGRE 2DA</t>
  </si>
  <si>
    <t>GRAL.PACHECO</t>
  </si>
  <si>
    <t>CRIA.MUJER y FLIA.TIGRE</t>
  </si>
  <si>
    <t>DON TORCUATO</t>
  </si>
  <si>
    <t>CRIA.TIGRE 3RA</t>
  </si>
  <si>
    <t>BENAVIDEZ</t>
  </si>
  <si>
    <t>CRIA.TIGRE 4TA</t>
  </si>
  <si>
    <t>EL TALAR</t>
  </si>
  <si>
    <t>CRIA.TIGRE 5TA</t>
  </si>
  <si>
    <t>RICARDO ROJAS</t>
  </si>
  <si>
    <t>SUBCRIA.RICARDO ROJAS</t>
  </si>
  <si>
    <t>CRIA.TIGRE 6TA</t>
  </si>
  <si>
    <t>ZARATE</t>
  </si>
  <si>
    <t>CRIA.ZARATE 1RA</t>
  </si>
  <si>
    <t>DTO.VILLA LA ÑATA</t>
  </si>
  <si>
    <t>LIMA</t>
  </si>
  <si>
    <t>CRIA.ZARATE 2DA</t>
  </si>
  <si>
    <t>JEF.DISTRITAL TIGRE</t>
  </si>
  <si>
    <t>JEF.DISTRITAL ESCOBAR</t>
  </si>
  <si>
    <t>JEF.DISTRITAL SAN FERNANDO</t>
  </si>
  <si>
    <t>JEF.DISTRITAL ZARATE</t>
  </si>
  <si>
    <t>JEF.DISTRITAL CAMPANA</t>
  </si>
  <si>
    <t>CARMEN DE ARECO</t>
  </si>
  <si>
    <t>EST.POL.COM.CARMEN DE ARECO</t>
  </si>
  <si>
    <t>JEF.POL.COM.CARMEN DE ARECO</t>
  </si>
  <si>
    <t>TRES SARGENTOS</t>
  </si>
  <si>
    <t>DTO.TRES SARGENTOS</t>
  </si>
  <si>
    <t>CHIVILCOY</t>
  </si>
  <si>
    <t>EST.POL.COM.CHIVILCOY</t>
  </si>
  <si>
    <t>PTO.VIG.EMILIO AYARZA</t>
  </si>
  <si>
    <t>CRIA.MUJER y FLIA.CHIVILCOY</t>
  </si>
  <si>
    <t>JEF.POL.COM.CHIVILCOY</t>
  </si>
  <si>
    <t>SUBESTACION CHIVILCOY</t>
  </si>
  <si>
    <t>MOQUEHUA</t>
  </si>
  <si>
    <t>SUBESTACION MOQUEHUA</t>
  </si>
  <si>
    <t>RAMON BIAUS</t>
  </si>
  <si>
    <t>PTO.VIG.RAMON BIAUS</t>
  </si>
  <si>
    <t>SAN SEBASTIAN</t>
  </si>
  <si>
    <t>PTO.VIG.SAN SEBASTIAN</t>
  </si>
  <si>
    <t>GOROSTIAGA</t>
  </si>
  <si>
    <t>PTO.VIG.GOROSTIAGA</t>
  </si>
  <si>
    <t>LUJAN</t>
  </si>
  <si>
    <t>DTO.CAÑADA DE ARIAS</t>
  </si>
  <si>
    <t>GENERAL LAS HERAS</t>
  </si>
  <si>
    <t>EST.POL.COM.GRAL.LAS HERAS</t>
  </si>
  <si>
    <t>VILLARS</t>
  </si>
  <si>
    <t>PTO.VIG.VILLARS</t>
  </si>
  <si>
    <t>JEF.POL.COM.GRAL.LAS HERAS</t>
  </si>
  <si>
    <t>PATRULLA RURAL GRAL.LAS HERAS</t>
  </si>
  <si>
    <t>GRAL.RODRIGUEZ</t>
  </si>
  <si>
    <t>JEF.DISTRITAL GRAL.RODRIGUEZ</t>
  </si>
  <si>
    <t>GENERAL RODRIGUEZ</t>
  </si>
  <si>
    <t>CRIA.GRAL.RODRIGUEZ 1RA</t>
  </si>
  <si>
    <t>LAS MALVINAS</t>
  </si>
  <si>
    <t>CRIA.GRAL.RODRIGUEZ 2DA</t>
  </si>
  <si>
    <t>DTO.LOS AROMOS</t>
  </si>
  <si>
    <t>DTO.Bº MARABO</t>
  </si>
  <si>
    <t>DTO.GRAL.HORNOS</t>
  </si>
  <si>
    <t>DTO.BARRIO GUEMES</t>
  </si>
  <si>
    <t>SANTA BRIGADA</t>
  </si>
  <si>
    <t>DTO.SANTA BRIGIDA</t>
  </si>
  <si>
    <t>LOBOS</t>
  </si>
  <si>
    <t>EST.POL.COM.LOBOS</t>
  </si>
  <si>
    <t>JEF.POL.COM.LOBOS</t>
  </si>
  <si>
    <t>EMPALME LOBOS</t>
  </si>
  <si>
    <t>SUBESTACION EMPALME LOBOS</t>
  </si>
  <si>
    <t>LAGUNA DE LOBOS</t>
  </si>
  <si>
    <t>DTO.LAGUNA DE LOBOS</t>
  </si>
  <si>
    <t>CARBONE</t>
  </si>
  <si>
    <t>PTO.VIG.CARBONI</t>
  </si>
  <si>
    <t>DTO.ZAPIOLA</t>
  </si>
  <si>
    <t>CRIA.LUJAN 1RA</t>
  </si>
  <si>
    <t>CRIA.MUJER y FLIA.LUJAN</t>
  </si>
  <si>
    <t>TORRES</t>
  </si>
  <si>
    <t>DTO.TORRES</t>
  </si>
  <si>
    <t>OPEN DOOR</t>
  </si>
  <si>
    <t>PTO.VIG.OPEN DOOR</t>
  </si>
  <si>
    <t>VILLA FLANDRIA</t>
  </si>
  <si>
    <t>CRIA.LUJAN 2DA</t>
  </si>
  <si>
    <t>DTO.PUEBLO NUEVO</t>
  </si>
  <si>
    <t>PUEBLO NUEVO</t>
  </si>
  <si>
    <t>PTO.PUEBLO NUEVO</t>
  </si>
  <si>
    <t>PTO.MOVIL CARLOS KEEN</t>
  </si>
  <si>
    <t>MARCOS PAZ</t>
  </si>
  <si>
    <t>EST.POL.COM.MARCOS PAZ</t>
  </si>
  <si>
    <t>DTO.OLIVERA</t>
  </si>
  <si>
    <t>PATRULLA RURAL ALBERTI</t>
  </si>
  <si>
    <t>JEF.POL.COM.MARCOS PAZ</t>
  </si>
  <si>
    <t>CRIA.MUJER y FLIA.MARCOS PAZ</t>
  </si>
  <si>
    <t>EST.POL.COM.MERCEDES</t>
  </si>
  <si>
    <t>JEF.POL.COM.MERCEDES</t>
  </si>
  <si>
    <t>NAVARRO</t>
  </si>
  <si>
    <t>CRIA.NAVARRO</t>
  </si>
  <si>
    <t>JEF.DISTRITAL NAVARRO</t>
  </si>
  <si>
    <t>LAS MARIANAS</t>
  </si>
  <si>
    <t>PTO.VIG.LAS MARIANAS</t>
  </si>
  <si>
    <t>VILLA MOLL</t>
  </si>
  <si>
    <t>PTO.VIG.VILLA MOLL</t>
  </si>
  <si>
    <t>GOWLAND</t>
  </si>
  <si>
    <t>DTO.GOWLAND</t>
  </si>
  <si>
    <t>ROQUE PEREZ</t>
  </si>
  <si>
    <t>EST.POL.COM.ROQUE PEREZ</t>
  </si>
  <si>
    <t>JEF.POL.COM.ROQUE PEREZ</t>
  </si>
  <si>
    <t>BERGUERIE</t>
  </si>
  <si>
    <t>DTO.CARLOS BEGUERIE</t>
  </si>
  <si>
    <t>SAN ANDRES DE GILES</t>
  </si>
  <si>
    <t>JEF.DISTRITAL S.A.DE GILES</t>
  </si>
  <si>
    <t>CRIA.SAN ANDRES DE GILES</t>
  </si>
  <si>
    <t>DTO.SOLIS</t>
  </si>
  <si>
    <t>SAN ANTONIO DE ARECO</t>
  </si>
  <si>
    <t>CRIA.SAN ANTONIO DE ARECO</t>
  </si>
  <si>
    <t>SAN A.DE ARECO</t>
  </si>
  <si>
    <t>DUGGAN</t>
  </si>
  <si>
    <t>DTO.DUGGAN</t>
  </si>
  <si>
    <t>VILLA LIA</t>
  </si>
  <si>
    <t>PTO.VIG.VILLA LIA</t>
  </si>
  <si>
    <t>SUIPACHA</t>
  </si>
  <si>
    <t>EST.POL.COM.SUIPACHA</t>
  </si>
  <si>
    <t>JEF.POL.COM.SUIPACHA</t>
  </si>
  <si>
    <t>CRIA.MUJER y FLIA.SUIPACHA</t>
  </si>
  <si>
    <t>GENERAL RIVAS</t>
  </si>
  <si>
    <t>DTO.GENERAL RIVAS</t>
  </si>
  <si>
    <t>EST.POL.COM.CAPILLA DEL SEÑOR</t>
  </si>
  <si>
    <t>PATRULLA RURAL CARMEN DE ARECO</t>
  </si>
  <si>
    <t>JEF.POL.COM.CAPILLA DEL SEÑOR</t>
  </si>
  <si>
    <t>SUBESTACION LOS CARDALES</t>
  </si>
  <si>
    <t>PARADA ROBLES</t>
  </si>
  <si>
    <t>DTO.PARADA ROBLES</t>
  </si>
  <si>
    <t>ALBERTI</t>
  </si>
  <si>
    <t>EST.POL.COM.ALBERTI</t>
  </si>
  <si>
    <t>PTO.VIG.ACHUPALLAS</t>
  </si>
  <si>
    <t>JEF.POL.COM.ALBERTI</t>
  </si>
  <si>
    <t>CORONEL MON</t>
  </si>
  <si>
    <t>DTO.CORONEL MON</t>
  </si>
  <si>
    <t>PATRULLA RURAL SUIPACHA</t>
  </si>
  <si>
    <t>LA RICA</t>
  </si>
  <si>
    <t>PTO.VIG.LA RICA</t>
  </si>
  <si>
    <t>PALEMON HUERGO</t>
  </si>
  <si>
    <t>PTO.VIG.PALEMON HUERGO</t>
  </si>
  <si>
    <t>CORONEL SEGUI</t>
  </si>
  <si>
    <t>PTO.VIG.CORONEL SEGUI</t>
  </si>
  <si>
    <t>JUAN JOSE ALMEYRA</t>
  </si>
  <si>
    <t>PTO.VIG.JUAN JOSE ALMEYRA</t>
  </si>
  <si>
    <t>PTO.VIG.PASMAN</t>
  </si>
  <si>
    <t>DTO.GRAL.RODRIGUEZ</t>
  </si>
  <si>
    <t>DEPOSITO AUT.CEAMSE.(MATANZA)</t>
  </si>
  <si>
    <t>PTO.DEST.PATAGONIA</t>
  </si>
  <si>
    <t>PTO.DEST.CHAPALCO</t>
  </si>
  <si>
    <t>DTO.LOS TRONCOS</t>
  </si>
  <si>
    <t>DTO.BANCALARI</t>
  </si>
  <si>
    <t>MONTERREY</t>
  </si>
  <si>
    <t>DTO.MONTERREY</t>
  </si>
  <si>
    <t>PILAR</t>
  </si>
  <si>
    <t>GARRE</t>
  </si>
  <si>
    <t>PTO.VIG.GARRE</t>
  </si>
  <si>
    <t>DTO.CENTENARIO</t>
  </si>
  <si>
    <t>DTO.CAMET</t>
  </si>
  <si>
    <t>SAUCE GRANDE</t>
  </si>
  <si>
    <t>PTO.DEST.SAUCE GRANDE</t>
  </si>
  <si>
    <t>DTO.SANTA ANA</t>
  </si>
  <si>
    <t>DTO.LAS TUNAS</t>
  </si>
  <si>
    <t>CRIA.25 DE MAYO 1RA</t>
  </si>
  <si>
    <t>PATRULLA RURAL BRAGADO</t>
  </si>
  <si>
    <t>PATRULLA RURAL CHIVILCOY</t>
  </si>
  <si>
    <t>DTO.ESTACION LUJAN</t>
  </si>
  <si>
    <t>JEF.DISTRITAL LUJAN</t>
  </si>
  <si>
    <t>PATRULLA RURAL MARCOS PAZ</t>
  </si>
  <si>
    <t>PATRULLA RURAL MERCEDES</t>
  </si>
  <si>
    <t>PATRULLA RURAL NUEVE DE JULIO</t>
  </si>
  <si>
    <t>JEF.DISTRITAL 25 DE MAYO</t>
  </si>
  <si>
    <t>DEL VALLE</t>
  </si>
  <si>
    <t>DTO.DEL VALLE</t>
  </si>
  <si>
    <t>GOBERNADOR UGARTE</t>
  </si>
  <si>
    <t>SUBCRIA.GOBERNADOR UGARTE</t>
  </si>
  <si>
    <t>VALDES</t>
  </si>
  <si>
    <t>DTO.VALDES</t>
  </si>
  <si>
    <t>SAN ENRIQUE</t>
  </si>
  <si>
    <t>PTO.VIG.SAN ENRIQUE</t>
  </si>
  <si>
    <t>MOSCONI</t>
  </si>
  <si>
    <t>PTO.VIG.MOSCONI</t>
  </si>
  <si>
    <t>NORBERTO DE LA RIESTRA</t>
  </si>
  <si>
    <t>CRIA.25 DE MAYO 2DA</t>
  </si>
  <si>
    <t>PEDERNALES</t>
  </si>
  <si>
    <t>DTO.PEDERNALES</t>
  </si>
  <si>
    <t>PTO.VIG.LA ERNESTINA</t>
  </si>
  <si>
    <t>QUILMES</t>
  </si>
  <si>
    <t>GRAL.ALVEAR</t>
  </si>
  <si>
    <t>BERAZATEGUI</t>
  </si>
  <si>
    <t>CRIA.BERAZATEGUI 1RA</t>
  </si>
  <si>
    <t>DTO.VILLA ESPAÑA</t>
  </si>
  <si>
    <t>RANELAGH</t>
  </si>
  <si>
    <t>CRIA.BERAZATEGUI 2DA</t>
  </si>
  <si>
    <t>GUTIERREZ</t>
  </si>
  <si>
    <t>CRIA.BERAZATEGUI 3RA</t>
  </si>
  <si>
    <t>EZPELETA</t>
  </si>
  <si>
    <t>DTO.Bº NUEVA VILLA ARGENTINA</t>
  </si>
  <si>
    <t>EL PATO</t>
  </si>
  <si>
    <t>CRIA.BERAZATEGUI 5TA</t>
  </si>
  <si>
    <t>HUDSON</t>
  </si>
  <si>
    <t>CRIA.BERAZATEGUI 4TA</t>
  </si>
  <si>
    <t>FLORENCIO VARELA</t>
  </si>
  <si>
    <t>CRIA.FLORENCIO VARELA 1RA</t>
  </si>
  <si>
    <t>CRIA.FLORENCIO VARELA 2DA</t>
  </si>
  <si>
    <t>FLORENCIO VARELA ( CRUCE )</t>
  </si>
  <si>
    <t>CRIA.FLORENCIO VARELA 3RA</t>
  </si>
  <si>
    <t>BOSQUES</t>
  </si>
  <si>
    <t>CRIA.FLORENCIO VARELA 4TA</t>
  </si>
  <si>
    <t>ING.ALLAN</t>
  </si>
  <si>
    <t>CRIA.FLORENCIO VARELA 6TA</t>
  </si>
  <si>
    <t>LA CAPILLA</t>
  </si>
  <si>
    <t>CRIA.FLORENCIO VARELA 5TA</t>
  </si>
  <si>
    <t>CRIA.QUILMES 1RA</t>
  </si>
  <si>
    <t>BERNAL</t>
  </si>
  <si>
    <t>CRIA.QUILMES 2DA</t>
  </si>
  <si>
    <t>DTO.DE LA RIBERA (QUILMES)</t>
  </si>
  <si>
    <t>QUILMES OESTE</t>
  </si>
  <si>
    <t>CRIA.QUILMES 3RA</t>
  </si>
  <si>
    <t>LA COLONIA</t>
  </si>
  <si>
    <t>SOLANO</t>
  </si>
  <si>
    <t>Detenido - Juv.</t>
  </si>
  <si>
    <t>Detenido - A.</t>
  </si>
  <si>
    <t>Fallecido</t>
  </si>
  <si>
    <t>CRIA.QUILMES 4TA</t>
  </si>
  <si>
    <t>LA CANADA (BERNAL OESTE )</t>
  </si>
  <si>
    <t>CRIA.QUILMES 5TA</t>
  </si>
  <si>
    <t>CRIA.QUILMES 6TA</t>
  </si>
  <si>
    <t>SANTA MARIA (BERNAL OESTE)</t>
  </si>
  <si>
    <t>CRIA.QUILMES 7MA</t>
  </si>
  <si>
    <t>BARRIO PARQUE BERNAL</t>
  </si>
  <si>
    <t>CRIA.QUILMES 8VA</t>
  </si>
  <si>
    <t>BARRIO PARQUE CALCHAQUI</t>
  </si>
  <si>
    <t>CRIA.QUILMES 9NA</t>
  </si>
  <si>
    <t>JEF.DISTRITAL QUILMES</t>
  </si>
  <si>
    <t>DON BOSCO</t>
  </si>
  <si>
    <t>CRIA.MUJER y FLIA.QUILMES</t>
  </si>
  <si>
    <t>CRIA.MUJER y FLIA.FCIO.VARELA</t>
  </si>
  <si>
    <t>JEF.DISTRITAL BERAZATEGUI</t>
  </si>
  <si>
    <t>JEF.DISTRITAL FCIO.VARELA</t>
  </si>
  <si>
    <t>SUBCRIA.DON BOSCO</t>
  </si>
  <si>
    <t>CRIA.MUJER y FLIA.BERAZATEGUI</t>
  </si>
  <si>
    <t>PATRULLA RURAL LOBOS</t>
  </si>
  <si>
    <t>PATRULLA RURAL RANCHOS</t>
  </si>
  <si>
    <t>SAN JUSTO</t>
  </si>
  <si>
    <t>CRIA.LA MATANZA NOROESTE 1RA</t>
  </si>
  <si>
    <t>RAMOS MEJIA</t>
  </si>
  <si>
    <t>CRIA.LA MATANZA NOROESTE 2DA</t>
  </si>
  <si>
    <t>VILLA MADERO</t>
  </si>
  <si>
    <t>CRIA.LA MATANZA NORESTE 1RA</t>
  </si>
  <si>
    <t>GREGORIO LAFERRERE</t>
  </si>
  <si>
    <t>CRIA.LA MATANZA ESTE 1RA</t>
  </si>
  <si>
    <t>GONZALEZ CATAN</t>
  </si>
  <si>
    <t>CRIA.LA MATANZA SUR 1RA</t>
  </si>
  <si>
    <t>20 DE JUNIO</t>
  </si>
  <si>
    <t>DTO.20 DE JUNIO</t>
  </si>
  <si>
    <t>ISIDRO CASANOVA</t>
  </si>
  <si>
    <t>CRIA.LA MATANZA OESTE 1RA</t>
  </si>
  <si>
    <t>VILLA CELINA</t>
  </si>
  <si>
    <t>CRIA.LA MATANZA NORESTE 5TA</t>
  </si>
  <si>
    <t>LOMAS DEL MIRADOR</t>
  </si>
  <si>
    <t>CRIA.LA MATANZA NORESTE 2DA</t>
  </si>
  <si>
    <t>DTO.LOMAS DEL MIRADOR</t>
  </si>
  <si>
    <t>GRAL.M.M.de GÜEMEZ</t>
  </si>
  <si>
    <t>CRIA.LA MATANZA ESTE 3RA</t>
  </si>
  <si>
    <t>DTO.JOSE INGENIEROS</t>
  </si>
  <si>
    <t>LOMAS DEL MILLON</t>
  </si>
  <si>
    <t>CRIA.LA MATANZA NOROESTE 6TA</t>
  </si>
  <si>
    <t>VILLA RECONDO</t>
  </si>
  <si>
    <t>CRIA.LA MATANZA NORESTE 6TA</t>
  </si>
  <si>
    <t>TAPIALES</t>
  </si>
  <si>
    <t>CRIA.LA MATANZA NORESTE 4TA</t>
  </si>
  <si>
    <t>ALDO BONZI</t>
  </si>
  <si>
    <t>SUBCRIA.ALDO BONZI</t>
  </si>
  <si>
    <t>LA TABLADA</t>
  </si>
  <si>
    <t>CRIA.LA MATANZA NORESTE 3RA</t>
  </si>
  <si>
    <t>RAFAEL CASTILLO</t>
  </si>
  <si>
    <t>CRIA.LA MATANZA OESTE 3RA</t>
  </si>
  <si>
    <t>VILLA LUZURIAGA</t>
  </si>
  <si>
    <t>CRIA.LA MATANZA NOROESTE 3RA</t>
  </si>
  <si>
    <t>VIRREY DEL PINO</t>
  </si>
  <si>
    <t>CRIA.LA MATANZA SUR 2DA</t>
  </si>
  <si>
    <t>DTO.RUTA 3 Km.43.500</t>
  </si>
  <si>
    <t>CRIA.LA MATANZA NOROESTE 5TA</t>
  </si>
  <si>
    <t>ALTOS DE LA FERRERE</t>
  </si>
  <si>
    <t>CRIA.LA MATANZA ESTE 2DA</t>
  </si>
  <si>
    <t>VILLA DORREGO</t>
  </si>
  <si>
    <t>CRIA.LA MATANZA SUR 3RA</t>
  </si>
  <si>
    <t>SAN ALBERTO</t>
  </si>
  <si>
    <t>CRIA.LA MATANZA OESTE 4TA</t>
  </si>
  <si>
    <t>SAN CARLOS</t>
  </si>
  <si>
    <t>CRIA.LA MATANZA OESTE 2DA</t>
  </si>
  <si>
    <t>CRIA.LA MATANZA NOROESTE 4TA</t>
  </si>
  <si>
    <t>GRUPO APOYO DPTAL.LA MATANZA</t>
  </si>
  <si>
    <t>PATRULLA RURAL LOBERIA</t>
  </si>
  <si>
    <t>PATRULLA RURAL SAN CAYETANO</t>
  </si>
  <si>
    <t>PTO.AVANZADA NATALE</t>
  </si>
  <si>
    <t>ESTEBAN ECHEVERRIA</t>
  </si>
  <si>
    <t>DTO.LAS COLINAS</t>
  </si>
  <si>
    <t>DTO.NUESTRAS MALVINAS</t>
  </si>
  <si>
    <t>DTO.PARRAVICCINI</t>
  </si>
  <si>
    <t>PTO.VIG.LA POSTA</t>
  </si>
  <si>
    <t>PTO.VIG.EL 80</t>
  </si>
  <si>
    <t>CRIA.MUJER y FLIA.LOBERIA</t>
  </si>
  <si>
    <t>CRIA.SAN ISIDRO 1RA</t>
  </si>
  <si>
    <t>BECCAR</t>
  </si>
  <si>
    <t>CRIA.SAN ISIDRO 11RA.(LA CAVA)</t>
  </si>
  <si>
    <t>CRIA.SAN ISIDRO 2DA</t>
  </si>
  <si>
    <t>CRIA.SAN ISIDRO 3RA</t>
  </si>
  <si>
    <t>CRIA.SAN ISIDRO 4TA</t>
  </si>
  <si>
    <t>CRIA.SAN ISIDRO 5TA</t>
  </si>
  <si>
    <t>CRIA.SAN ISIDRO 7MA</t>
  </si>
  <si>
    <t>CRIA.SAN ISIDRO 8VA</t>
  </si>
  <si>
    <t>CRIA.SAN ISIDRO 9NA</t>
  </si>
  <si>
    <t>LA HORQUETA</t>
  </si>
  <si>
    <t>DTO.BARRIO SAN ISIDRO</t>
  </si>
  <si>
    <t>CRIA.SAN ISIDRO 10MA</t>
  </si>
  <si>
    <t>OLIVOS</t>
  </si>
  <si>
    <t>CRIA.VICENTE LOPEZ 1RA</t>
  </si>
  <si>
    <t>VICENTE LOPEZ</t>
  </si>
  <si>
    <t>FLORIDA</t>
  </si>
  <si>
    <t>CRIA.VICENTE LOPEZ 2DA</t>
  </si>
  <si>
    <t>MUNRO</t>
  </si>
  <si>
    <t>CRIA.VICENTE LOPEZ 3RA</t>
  </si>
  <si>
    <t>VILLA MARTELLI</t>
  </si>
  <si>
    <t>CRIA.VICENTE LOPEZ 4TA</t>
  </si>
  <si>
    <t>DTO.TECNOPOLIS</t>
  </si>
  <si>
    <t>BALNEARIO</t>
  </si>
  <si>
    <t>CRIA.VICENTE LOPEZ 5TA</t>
  </si>
  <si>
    <t>CARAPACHAY</t>
  </si>
  <si>
    <t>CRIA.VICENTE LOPEZ 6TA</t>
  </si>
  <si>
    <t>SUBCRIA.LOMA DE ROCA</t>
  </si>
  <si>
    <t>JEF.DISTRITAL VICENTE LOPEZ</t>
  </si>
  <si>
    <t>CRIA.MUJER y FLIA.VTE.LOPEZ</t>
  </si>
  <si>
    <t>BOULOGNE</t>
  </si>
  <si>
    <t>JEF.DISTRITAL SAN ISIDRO</t>
  </si>
  <si>
    <t>GRUPO APOYO DIST.SAN ISIDRO</t>
  </si>
  <si>
    <t>GRUPO APOYO DIST.TIGRE</t>
  </si>
  <si>
    <t>GRUPO MOTORIZADO SAN ISIDRO</t>
  </si>
  <si>
    <t>MARTINEZ</t>
  </si>
  <si>
    <t>CRIA.MUJER y FLIA.SAN ISIDRO</t>
  </si>
  <si>
    <t>SAN MIGUEL</t>
  </si>
  <si>
    <t>CRIA.SAN MIGUEL 1RA</t>
  </si>
  <si>
    <t>BELLA VISTA</t>
  </si>
  <si>
    <t>CRIA.SAN MIGUEL 2DA</t>
  </si>
  <si>
    <t>JOSE C.PAZ</t>
  </si>
  <si>
    <t>CRIA.JOSE C.PAZ 1RA</t>
  </si>
  <si>
    <t>LOS POLVORINES</t>
  </si>
  <si>
    <t>CRIA.MALVINAS ARGENTINAS 2DA</t>
  </si>
  <si>
    <t>MALVINAS ARGENTINAS</t>
  </si>
  <si>
    <t>GRAND BOURG</t>
  </si>
  <si>
    <t>CRIA.MALVINAS ARGENTINAS 1RA</t>
  </si>
  <si>
    <t>DEL VISO</t>
  </si>
  <si>
    <t>CRIA.PILAR 3RA</t>
  </si>
  <si>
    <t>BARRIO FRINO</t>
  </si>
  <si>
    <t>CRIA.JOSE C.PAZ 2DA</t>
  </si>
  <si>
    <t>CRIA.JOSE C.PAZ 3RA</t>
  </si>
  <si>
    <t>PABLO NOGUES</t>
  </si>
  <si>
    <t>CRIA.MALVINAS ARGENTINAS 3RA</t>
  </si>
  <si>
    <t>SAN MIGUEL OESTE</t>
  </si>
  <si>
    <t>CRIA.SAN MIGUEL 3RA</t>
  </si>
  <si>
    <t>CRIA.PILAR 1RA</t>
  </si>
  <si>
    <t>DTO.FATIMA</t>
  </si>
  <si>
    <t>DTO.PARQUE INDUSTRIAL</t>
  </si>
  <si>
    <t>DTO.ESTACION ZELAYA</t>
  </si>
  <si>
    <t>VILLA ROSA</t>
  </si>
  <si>
    <t>CRIA.PILAR 6TA</t>
  </si>
  <si>
    <t>PRESIDENTE DERQUI</t>
  </si>
  <si>
    <t>CRIA.PILAR 2DA</t>
  </si>
  <si>
    <t>MANUEL ALBERTI</t>
  </si>
  <si>
    <t>DTO.LAGOMARSINO</t>
  </si>
  <si>
    <t>CRIA.PILAR 7MA</t>
  </si>
  <si>
    <t>CRIA.PILAR 5TA</t>
  </si>
  <si>
    <t>DTO.AGUSTONI</t>
  </si>
  <si>
    <t>VILLA ASTOLFI</t>
  </si>
  <si>
    <t>DTO.VILLA ASTOLFI</t>
  </si>
  <si>
    <t>LA LONJA</t>
  </si>
  <si>
    <t>DTO.LA LONJA</t>
  </si>
  <si>
    <t>MANZANARES</t>
  </si>
  <si>
    <t>DTO.MANZANARES</t>
  </si>
  <si>
    <t>TORTUGUITAS</t>
  </si>
  <si>
    <t>CRIA.MALVINAS ARGENTINAS 4TA</t>
  </si>
  <si>
    <t>JEF.DISTRITAL SAN MIGUEL</t>
  </si>
  <si>
    <t>CRIA.MUJER y FLIA.SAN MIGUEL</t>
  </si>
  <si>
    <t>JEF.DISTRITAL PILAR</t>
  </si>
  <si>
    <t>CRIA.PILAR 4TA</t>
  </si>
  <si>
    <t>JEF.DISTRITAL JOSE C.PAZ</t>
  </si>
  <si>
    <t>SORDIAUX</t>
  </si>
  <si>
    <t>JEF.DISTRITAL MALVINAS ARG.</t>
  </si>
  <si>
    <t>GRAND BURG</t>
  </si>
  <si>
    <t>CRIA.MUJER y FLIA.MALVINAS ARG</t>
  </si>
  <si>
    <t>ADROGUE</t>
  </si>
  <si>
    <t>CRIA.ALMIRANTE BROWN 1RA</t>
  </si>
  <si>
    <t>DTO.ISLAS MALVINAS</t>
  </si>
  <si>
    <t>BURZACO</t>
  </si>
  <si>
    <t>CRIA.ALMIRANTE BROWN 2DA</t>
  </si>
  <si>
    <t>CRIA.MUJER y FLIA.LAPRIDA</t>
  </si>
  <si>
    <t>CRIA.ALMIRANTE BROWN 3RA</t>
  </si>
  <si>
    <t>LONGCHAMPS</t>
  </si>
  <si>
    <t>CRIA.ALMIRANTE BROWN 4TA</t>
  </si>
  <si>
    <t>DTO.MINISTRO RIVADAVIA</t>
  </si>
  <si>
    <t>RAFAEL CALZADA</t>
  </si>
  <si>
    <t>CRIA.ALMIRANTE BROWN 5TA</t>
  </si>
  <si>
    <t>CLAYPOLE</t>
  </si>
  <si>
    <t>CRIA.ALMIRANTE BROWN 6TA</t>
  </si>
  <si>
    <t>GLEW</t>
  </si>
  <si>
    <t>CRIA.ALMIRANTE BROWN 7MA</t>
  </si>
  <si>
    <t>SAN FRANCISCO SOLANO</t>
  </si>
  <si>
    <t>CRIA.ALMIRANTE BROWN 10MA</t>
  </si>
  <si>
    <t>DON ORIONE</t>
  </si>
  <si>
    <t>CRIA.ALMIRANTE BROWN 8VA</t>
  </si>
  <si>
    <t>CRIA.ALMIRANTE BROWN 9NA</t>
  </si>
  <si>
    <t>MONTE GRANDE</t>
  </si>
  <si>
    <t>CRIA.ESTEBAN ECHEVERRIA 1RA</t>
  </si>
  <si>
    <t>CRIA.EZEIZA 1RA</t>
  </si>
  <si>
    <t>CRIA.EZEIZA 2DA</t>
  </si>
  <si>
    <t>CANING</t>
  </si>
  <si>
    <t>CRIA.ESTEBAN ECHEVERRIA 4TA</t>
  </si>
  <si>
    <t>LUIS GUILLON</t>
  </si>
  <si>
    <t>CRIA.ESTEBAN ECHEVERRIA 2DA</t>
  </si>
  <si>
    <t>TRANSRADIO</t>
  </si>
  <si>
    <t>CRIA.ESTEBAN ECHEVERRIA 3RA</t>
  </si>
  <si>
    <t>CARLOS SPEGAZZINI</t>
  </si>
  <si>
    <t>CRIA.EZEIZA 3RA</t>
  </si>
  <si>
    <t>CRIA.ESTEBAN ECHEVERRIA 5TA</t>
  </si>
  <si>
    <t>BARRIO UNO (EZEIZA)</t>
  </si>
  <si>
    <t>CRIA.EZEIZA 4TA</t>
  </si>
  <si>
    <t>BARRIO LA UNION</t>
  </si>
  <si>
    <t>CRIA.EZEIZA 5TA</t>
  </si>
  <si>
    <t>EST.POL.COM.CAÑUELAS</t>
  </si>
  <si>
    <t>DTO.ALEJANDRO PETION</t>
  </si>
  <si>
    <t>PTO.VIG.URIBELARREA</t>
  </si>
  <si>
    <t>JEF.POL.COM.CAÑUELAS</t>
  </si>
  <si>
    <t>CRIA.MUJER y FLIA.CAÑUELAS</t>
  </si>
  <si>
    <t>MAXIMO PAZ</t>
  </si>
  <si>
    <t>DTO.MAXIMO PAZ</t>
  </si>
  <si>
    <t>GOBERNADOR UDAONDO</t>
  </si>
  <si>
    <t>DTO.GOBERNADOR UDAONDO</t>
  </si>
  <si>
    <t>BARRIO LOS POZOS</t>
  </si>
  <si>
    <t>DTO.ORO VERDE</t>
  </si>
  <si>
    <t>DTO.BANFIELD</t>
  </si>
  <si>
    <t>DIR.DEP.INV.LA PLATA</t>
  </si>
  <si>
    <t>SUBESTACION CHIVILCOY NORTE</t>
  </si>
  <si>
    <t>DIR.DEP.INV.MERCEDES</t>
  </si>
  <si>
    <t>GRUPO APOYO DPTAL.SAN NICOLAS</t>
  </si>
  <si>
    <t>DIR.DEP.INV.SAN NICOLAS</t>
  </si>
  <si>
    <t>JEF.DISTRITAL PART.DE LA COSTA</t>
  </si>
  <si>
    <t>CHAS</t>
  </si>
  <si>
    <t>PTO.VIG.CHAS</t>
  </si>
  <si>
    <t>PARAJE MACEDO</t>
  </si>
  <si>
    <t>DTO.MACEDO</t>
  </si>
  <si>
    <t>FAIR</t>
  </si>
  <si>
    <t>PTO.VIG.FAIR</t>
  </si>
  <si>
    <t>PATRULLA RURAL GRAL.MADARIAGA</t>
  </si>
  <si>
    <t>DIR.DEP.INV.DOLORES</t>
  </si>
  <si>
    <t>SUBDIR.DEP.INV.VILLA GESELL</t>
  </si>
  <si>
    <t>DIR.DEP.INV.BAHIA BLANCA</t>
  </si>
  <si>
    <t>GRUPO APOYO DPTAL.BAHIA BLANCA</t>
  </si>
  <si>
    <t>PTO.VIG.EL TRIGO</t>
  </si>
  <si>
    <t>JEF.DISTRITAL TANDIL</t>
  </si>
  <si>
    <t>DTO.VILLA PARDO</t>
  </si>
  <si>
    <t>GRUPO APOYO DPTAL.AZUL</t>
  </si>
  <si>
    <t>PATRULLA RURAL GRAL.ALVEAR</t>
  </si>
  <si>
    <t>PTO.VIG.MICHEO</t>
  </si>
  <si>
    <t>PATRULLA RURAL BENITO JUAREZ</t>
  </si>
  <si>
    <t>PATRULLA RURAL LAS FLORES</t>
  </si>
  <si>
    <t>PTO.VIG.COLONIA SAN MIGUEL</t>
  </si>
  <si>
    <t>PATRULLA RURAL RAUCH</t>
  </si>
  <si>
    <t>PATRULLA RURAL TAPALQUE</t>
  </si>
  <si>
    <t>PATRULLA RURAL LAMADRID</t>
  </si>
  <si>
    <t>PATRULLA RURAL LAPRIDA</t>
  </si>
  <si>
    <t>PTO.VIG.PAULA</t>
  </si>
  <si>
    <t>CRIA.MUJER y FLIA.AZUL</t>
  </si>
  <si>
    <t>DIR.DEP.INV.AZUL</t>
  </si>
  <si>
    <t>DIR.DEP.INV.MAR DEL PLATA</t>
  </si>
  <si>
    <t>SUBDIR.DEP.INV.BALCARCE</t>
  </si>
  <si>
    <t>SUBDIR.DEP.INV.MIRAMAR</t>
  </si>
  <si>
    <t>GRUPO APOYO DPTAL.JUNIN</t>
  </si>
  <si>
    <t>DIR.DEP.INV.JUNIN</t>
  </si>
  <si>
    <t>GRUPO APOYO DPTAL.CONURB.NORTE</t>
  </si>
  <si>
    <t>DIR.DEP.INV.SAN ISIDRO</t>
  </si>
  <si>
    <t>GRUPO APOYO DPTAL.PEHUAJO</t>
  </si>
  <si>
    <t>DIR.DEP.INV.TRENQUE LAUQUEN</t>
  </si>
  <si>
    <t>CRIA.MUJER y FLIA.MORON</t>
  </si>
  <si>
    <t>GRUPO APOYO DPTAL.MORON</t>
  </si>
  <si>
    <t>DIR.DEP.INV.MORON</t>
  </si>
  <si>
    <t>GRUPO APOYO DPTAL.SAN MARTIN</t>
  </si>
  <si>
    <t>DIR.DEP.INV.SAN MARTIN</t>
  </si>
  <si>
    <t>DTO.CUATRO BOCAS</t>
  </si>
  <si>
    <t>DTO.VILLA RITA</t>
  </si>
  <si>
    <t>CRIA.MUJER y FLIA.E.ECHEVERRIA</t>
  </si>
  <si>
    <t>CRIA.MUJER y FLIA.ALTE.BROWN</t>
  </si>
  <si>
    <t>DIR.DEP.INV.LOMAS DE ZAMORA</t>
  </si>
  <si>
    <t>CRIA.MUJER y FLIA.NECOCHEA</t>
  </si>
  <si>
    <t>DIR.DEP.INV.NECOCHEA</t>
  </si>
  <si>
    <t>CRIA.MUJER y FLIA.PERGAMINO</t>
  </si>
  <si>
    <t>GRUPO APOYO DPTAL.PERGAMINO</t>
  </si>
  <si>
    <t>SUPERINT.INVEST.FUNC.JUDICIAL</t>
  </si>
  <si>
    <t>DIRECCION CASOS ESPECIALES</t>
  </si>
  <si>
    <t>BASE OPERATIVA SAN VICENTE</t>
  </si>
  <si>
    <t>BASE OPERATIVA LOBOS</t>
  </si>
  <si>
    <t>PLANTA VERIFICADORA S.MARTIN</t>
  </si>
  <si>
    <t>PLANTA VERIFICADORA SAN MIGUEL</t>
  </si>
  <si>
    <t>PLANTA VERIFICADORA QUILMES</t>
  </si>
  <si>
    <t>SUBDIR.DEP.INV.BARADERO</t>
  </si>
  <si>
    <t>PLANTA VERIFICADORA VTE.LOPEZ</t>
  </si>
  <si>
    <t>PLANTA VERIFICADORA LA MATANZA</t>
  </si>
  <si>
    <t>PLANTA VERIFICADORA LA PLATA</t>
  </si>
  <si>
    <t>PLANTA VERIFICADORA MORON</t>
  </si>
  <si>
    <t>SUBDIR.DEP.INV.V.LOPEZ</t>
  </si>
  <si>
    <t>SUBDIR.DEP.INV.BRANDSEN</t>
  </si>
  <si>
    <t>SUBDIR.DEP.INV.BRAGADO</t>
  </si>
  <si>
    <t>SUBDIR.DEP.INV.ARRECIFES</t>
  </si>
  <si>
    <t>SUBDIR.DEP.INV.AYACUCHO</t>
  </si>
  <si>
    <t>SUBDIR.DEP.INV.LAS FLORES</t>
  </si>
  <si>
    <t>SUBDIR.DEP.INV.TIGRE</t>
  </si>
  <si>
    <t>SUBDIR.DEP.INV.PILAR</t>
  </si>
  <si>
    <t>SUBDIR.DEP.INV.JOSE C.PAZ</t>
  </si>
  <si>
    <t>SUBDIR.DEP.INV.LOBERIA</t>
  </si>
  <si>
    <t>SUBDIR.DEP.INV.TANDIL</t>
  </si>
  <si>
    <t>SUBDIR.DEP.INV.OLAVARRIA</t>
  </si>
  <si>
    <t>SUBDIR.DEP.INV.TRES AROYOS</t>
  </si>
  <si>
    <t>SUBDIR.DEP.INV.BOLIVAR</t>
  </si>
  <si>
    <t>SUBDIR.DEP.INV.CNEL.SUAREZ</t>
  </si>
  <si>
    <t>SUBDIR.DEP.INV.COLON</t>
  </si>
  <si>
    <t>SUBDIR.DEP.INV.SAN MIGUEL</t>
  </si>
  <si>
    <t>DIR.DEP.INV.E.ECHEVERRIA</t>
  </si>
  <si>
    <t>SUBDIR.DEP.INV.CAÑUELAS</t>
  </si>
  <si>
    <t>DIR.HOMICIDIOS</t>
  </si>
  <si>
    <t>SUPERINT.DE SEGURIDAD VIAL</t>
  </si>
  <si>
    <t>DIV.DELEG.SEG.AUTOP.ZONA SUR</t>
  </si>
  <si>
    <t>DIV.DELEG.SEG.AUTOP.ZONA NORTE</t>
  </si>
  <si>
    <t>DTO.VIAL 9 DE JULIO</t>
  </si>
  <si>
    <t>SEC.VIAL AUTOPISTA LA PLATA</t>
  </si>
  <si>
    <t>DTO.VIAL ALSINA</t>
  </si>
  <si>
    <t>DTO.VIAL FORTIN MERCEDES</t>
  </si>
  <si>
    <t>DTO.VIAL AZUL</t>
  </si>
  <si>
    <t>DTO.VIAL BAHIA BLANCA</t>
  </si>
  <si>
    <t>DTO.VIAL BALCARCE</t>
  </si>
  <si>
    <t>DTO.VIAL BRAGADO</t>
  </si>
  <si>
    <t>DTO.VIAL BUEN AYRE I</t>
  </si>
  <si>
    <t>DTO.VIAL BUEN AYRE II</t>
  </si>
  <si>
    <t>DTO.VIAL C.BRANDSEN</t>
  </si>
  <si>
    <t>DTO.VIAL C.GLORIA</t>
  </si>
  <si>
    <t>DEPTO.ZONA OP.VIAL LA PLATA</t>
  </si>
  <si>
    <t>DEPTO.ZONA OP.VIAL MERCEDES</t>
  </si>
  <si>
    <t>DEPTO.ZONA OP.VIAL S.NICOLAS</t>
  </si>
  <si>
    <t>DEPTO.ZONA OP.VIAL B.BLANCA</t>
  </si>
  <si>
    <t>DEPTO.ZONA OP.VIAL AZUL</t>
  </si>
  <si>
    <t>DEPTO.ZONA OP.VIAL M.D.PLATA</t>
  </si>
  <si>
    <t>DEPTO.ZONA OP.VIAL JUNIN</t>
  </si>
  <si>
    <t>DEPTO.ZONA OP.VIAL T.LAUQUEN</t>
  </si>
  <si>
    <t>DEPTO.ZONA OP.VIAL DOLORES</t>
  </si>
  <si>
    <t>DEPTO.ZONA OP.VIAL LA COSTA</t>
  </si>
  <si>
    <t>DTO.VIAL MERCEDES</t>
  </si>
  <si>
    <t>DTO.VIAL LINCOLN</t>
  </si>
  <si>
    <t>DTO.VIAL RUTA PANAMERICANA II</t>
  </si>
  <si>
    <t>DTO.VIAL CAMET</t>
  </si>
  <si>
    <t>DTO.VIAL CASTELLI</t>
  </si>
  <si>
    <t>DTO.VIAL CAÑUELAS</t>
  </si>
  <si>
    <t>DTO.VIAL GUERNICA</t>
  </si>
  <si>
    <t>DTO.VIAL LIBERTADOR</t>
  </si>
  <si>
    <t>DTO.VIAL CHAPADMALAL</t>
  </si>
  <si>
    <t>DTO.VIAL CHASCOMUS</t>
  </si>
  <si>
    <t>DTO.VIAL CHIVILCOY</t>
  </si>
  <si>
    <t>DTO.VIAL CNEL.VIDAL</t>
  </si>
  <si>
    <t>DTO.VIAL COLON</t>
  </si>
  <si>
    <t>DTO.VIAL DE LA COSTA</t>
  </si>
  <si>
    <t>DTO.VIAL DOLORES</t>
  </si>
  <si>
    <t>DTO.VIAL EL SOCORRO</t>
  </si>
  <si>
    <t>DTO.VIAL EL SOLDADO</t>
  </si>
  <si>
    <t>DTO.VIAL CARABELAS</t>
  </si>
  <si>
    <t>DTO.VIAL EL VAPOR</t>
  </si>
  <si>
    <t>DTO.VIAL EZEIZA</t>
  </si>
  <si>
    <t>DTO.VIAL GRAL.LAS HERAS</t>
  </si>
  <si>
    <t>DTO.VIAL GRAL.LAMADRID</t>
  </si>
  <si>
    <t>DTO.VIAL GRAL.PINTO</t>
  </si>
  <si>
    <t>DTO.VIAL GRAL.VILLEGAS</t>
  </si>
  <si>
    <t>DTO.VIAL CAÑADA SECA</t>
  </si>
  <si>
    <t>DTO.VIAL GRAL.ALVEAR I</t>
  </si>
  <si>
    <t>DTO.VIAL GRAL.ALVEAR II</t>
  </si>
  <si>
    <t>DTO.VIAL GRAL.CONESA</t>
  </si>
  <si>
    <t>DTO.VIAL GRAL.GUIDO</t>
  </si>
  <si>
    <t>DTO.VIAL IRIARTE</t>
  </si>
  <si>
    <t>DTO.VIAL JUNIN</t>
  </si>
  <si>
    <t>DTO.VIAL LAS ARMAS</t>
  </si>
  <si>
    <t>DTO.VIAL LAS FLORES</t>
  </si>
  <si>
    <t>DTO.VIAL GRAL.LAVALLE</t>
  </si>
  <si>
    <t>DTO.VIAL AUTOPISTA OESTE</t>
  </si>
  <si>
    <t>DTO.VIAL LOBOS</t>
  </si>
  <si>
    <t>DTO.VIAL LUJAN</t>
  </si>
  <si>
    <t>DTO.VIAL MAIPU</t>
  </si>
  <si>
    <t>JEF.DISTRITAL NECOCHEA</t>
  </si>
  <si>
    <t>DTO.VIAL PTE.PUEYRREDON</t>
  </si>
  <si>
    <t>DTO.VIAL PAVON</t>
  </si>
  <si>
    <t>DTO.VIAL PEHUAJO</t>
  </si>
  <si>
    <t>DTO.VIAL PELLEGRINI</t>
  </si>
  <si>
    <t>DTO.VIAL PERGAMINO</t>
  </si>
  <si>
    <t>DTO.VIAL PINAMAR</t>
  </si>
  <si>
    <t>DTO.VIAL ALPARGATAS</t>
  </si>
  <si>
    <t>DTO.VIAL PTE.AVELLANEDA</t>
  </si>
  <si>
    <t>DTO.VIAL CASALINS</t>
  </si>
  <si>
    <t>DTO.VIAL QUEQUEN</t>
  </si>
  <si>
    <t>DTO.VIAL SAN ANTONIO DE ARECO</t>
  </si>
  <si>
    <t>DTO.VIAL SAN ANDRES DE GILES</t>
  </si>
  <si>
    <t>DTO.VIAL SAN MIGUEL DEL MONTE</t>
  </si>
  <si>
    <t>DTO.VIAL SAMBOROMBOM</t>
  </si>
  <si>
    <t>DTO.VIAL SAN MARTIN</t>
  </si>
  <si>
    <t>TRES DE FEBRERO</t>
  </si>
  <si>
    <t>DTO.VIAL TRES DE FEBRERO</t>
  </si>
  <si>
    <t>DTO.VIAL SAN NICOLAS</t>
  </si>
  <si>
    <t>DTO.VIAL SAN PEDRO</t>
  </si>
  <si>
    <t>DTO.VIAL TRENQUE LAUQUEN</t>
  </si>
  <si>
    <t>DTO.VIAL TANDIL</t>
  </si>
  <si>
    <t>DTO.VIAL TORNQUINST</t>
  </si>
  <si>
    <t>DTO.VIAL VILLA ARIAS</t>
  </si>
  <si>
    <t>DTO.VIAL TRES ARROYOS</t>
  </si>
  <si>
    <t>DTO.VIAL VIEYTES</t>
  </si>
  <si>
    <t>DTO.VIAL VIVORATA</t>
  </si>
  <si>
    <t>DTO.VIAL ZARATE</t>
  </si>
  <si>
    <t>DTO.VIAL GORCHS</t>
  </si>
  <si>
    <t>DTO.VIAL LEZAMA</t>
  </si>
  <si>
    <t>DTO.VIAL RUTA PANAMERICANA</t>
  </si>
  <si>
    <t>DTO.VIAL PTE.VALENTIN ALSINA</t>
  </si>
  <si>
    <t>DTO.VIAL GUAMINI</t>
  </si>
  <si>
    <t>DIV.MOTORIZADA</t>
  </si>
  <si>
    <t>DIR.DEP.INV.PERGAMINO</t>
  </si>
  <si>
    <t>GRUPO APOYO DPTAL.QUILMES</t>
  </si>
  <si>
    <t>DIR.DEP.INV.QUILMES</t>
  </si>
  <si>
    <t>GRUPO APOYO DPTAL.ZARATE-CAMP.</t>
  </si>
  <si>
    <t>DIR.DEP.INV.ZARATE-CAMPANA</t>
  </si>
  <si>
    <t>CRIA.MUJER y FLIA.LA MATANZA</t>
  </si>
  <si>
    <t>JEF.DISTRITAL MATANZA SUR</t>
  </si>
  <si>
    <t>CRIA.MUJER y FLIA.MATANZA SUR</t>
  </si>
  <si>
    <t>GRUPO APOYO DPTAL.MATANZA SUR</t>
  </si>
  <si>
    <t>DTO.G.LAFERRERE SUR</t>
  </si>
  <si>
    <t>JEF.DISTRITAL MATANZA ESTE</t>
  </si>
  <si>
    <t>JEF.DISTRITAL MATANZA OESTE</t>
  </si>
  <si>
    <t>JEF.DISTRITAL MATANZA NORESTE</t>
  </si>
  <si>
    <t>JEF.DISTRITAL MATANZA NOROESTE</t>
  </si>
  <si>
    <t>DIR.DEP.INV.LA MATANZA</t>
  </si>
  <si>
    <t>MANUEL OCAMPO</t>
  </si>
  <si>
    <t>PTO.VIG.MANUEL OCAMPO</t>
  </si>
  <si>
    <t>MARIANO ALFONSO</t>
  </si>
  <si>
    <t>PTO.VIG.MARIANO ALFONZO</t>
  </si>
  <si>
    <t>RANCAGUA</t>
  </si>
  <si>
    <t>PTO.VIG.RANCAGUA</t>
  </si>
  <si>
    <t>AGUAS VERDES</t>
  </si>
  <si>
    <t>DTO.AGUAS VERDES</t>
  </si>
  <si>
    <t>JEF.DISTRITAL VILLA GESELL</t>
  </si>
  <si>
    <t>JEF.DISTRITAL DOLORES</t>
  </si>
  <si>
    <t>JEF.DISTRITAL CHASCOMUS</t>
  </si>
  <si>
    <t>JEF.DISTRITAL TRENQUE LAUQUEN</t>
  </si>
  <si>
    <t>SUPERINT.INV.TRAF.Y DROG.ILIC.</t>
  </si>
  <si>
    <t>UNIDAD EJECUCION DE CAPTURAS</t>
  </si>
  <si>
    <t>DELEG.T.D.I.MORON</t>
  </si>
  <si>
    <t>DELEG.T.D.I.TRENQUE LAUQUEN</t>
  </si>
  <si>
    <t>DELEG.T.D.I.PERGAMINO</t>
  </si>
  <si>
    <t>DIR.UNIDAD ESP.LUCHA C/NARCOTR</t>
  </si>
  <si>
    <t>DELEG.DE ENLACE AEROPORTUARIO</t>
  </si>
  <si>
    <t>DELEG.T.D.I.QUILMES</t>
  </si>
  <si>
    <t>DELEG.T.D.I.LOMAS DE ZAMORA</t>
  </si>
  <si>
    <t>DELEG.T.D.I.SAN MARTIN</t>
  </si>
  <si>
    <t>DELEG.T.D.I.LA MATANZA</t>
  </si>
  <si>
    <t>DELEG.T.D.I.MAR DEL PLATA</t>
  </si>
  <si>
    <t>DELEG.T.D.I.AZUL</t>
  </si>
  <si>
    <t>DELEG.T.D.I.BAHIA BLANCA</t>
  </si>
  <si>
    <t>DELEG.T.D.I.DOLORES</t>
  </si>
  <si>
    <t>DELEG.T.D.I.JUNIN</t>
  </si>
  <si>
    <t>DELEG.T.D.I.MERCEDES</t>
  </si>
  <si>
    <t>DELEG.T.D.I.ZARATE-CAMPANA</t>
  </si>
  <si>
    <t>DELEG.T.D.I.SAN ISIDRO</t>
  </si>
  <si>
    <t>SUBDELEG.T.D.I.SAN MIGUEL</t>
  </si>
  <si>
    <t>DELEG.T.D.I.SAN NICOLAS</t>
  </si>
  <si>
    <t>DELEG.T.D.I.LA PLATA</t>
  </si>
  <si>
    <t>SUBDELEG.T.D.I.CHASCOMUS</t>
  </si>
  <si>
    <t>DELEG.T.D.I.NECOCHEA</t>
  </si>
  <si>
    <t>SUBDELEG.T.D.I.E.ECHEVERRIA</t>
  </si>
  <si>
    <t>SUBDELEG.T.D.I.PILAR</t>
  </si>
  <si>
    <t>JEF.DISTRIT.M.DEL PLATA CENTRO</t>
  </si>
  <si>
    <t>DIR.PREV.DEL.CONTRA.PROP.AUTOM</t>
  </si>
  <si>
    <t>JEF.DISTRITAL SAN A.DE ARECO</t>
  </si>
  <si>
    <t>PERGAMINO</t>
  </si>
  <si>
    <t>CRIA.PERGAMINO 1RA</t>
  </si>
  <si>
    <t>ESTACION ACEVEDO</t>
  </si>
  <si>
    <t>DTO.ACEVEDO</t>
  </si>
  <si>
    <t>ESTACION EL SOCORRO</t>
  </si>
  <si>
    <t>DTO.EL SOCORRO</t>
  </si>
  <si>
    <t>LA VIOLETA</t>
  </si>
  <si>
    <t>DTO.LA VIOLETA</t>
  </si>
  <si>
    <t>URQUIZA</t>
  </si>
  <si>
    <t>PTO.VIG.URQUIZA</t>
  </si>
  <si>
    <t>GUERRICO</t>
  </si>
  <si>
    <t>PTO.VIG.GUERRICO</t>
  </si>
  <si>
    <t>MARIANO BENITEZ</t>
  </si>
  <si>
    <t>PTO.VIG.MARIANO BENITEZ</t>
  </si>
  <si>
    <t>CRIA.PERGAMINO 2DA</t>
  </si>
  <si>
    <t>CRIA.PERGAMINO 3RA</t>
  </si>
  <si>
    <t>PINZON</t>
  </si>
  <si>
    <t>PTO.VIG.PINZON</t>
  </si>
  <si>
    <t>JEF.DISTRITAL SAN NICOLAS</t>
  </si>
  <si>
    <t>JEF.DISTRITAL PERGAMINO</t>
  </si>
  <si>
    <t>PTO.VIG.PEÑA</t>
  </si>
  <si>
    <t>CHACABUCO</t>
  </si>
  <si>
    <t>CRIA.CHACABUCO</t>
  </si>
  <si>
    <t>JEF.DISTRITAL CHACABUCO</t>
  </si>
  <si>
    <t>RAWSON</t>
  </si>
  <si>
    <t>SUBCRIA.RAWSON</t>
  </si>
  <si>
    <t>PTO.VIG.DR.JUAN JOSE ERRICO</t>
  </si>
  <si>
    <t>O'HIGGINS</t>
  </si>
  <si>
    <t>SUBCRIA.O'HIGGINS</t>
  </si>
  <si>
    <t>CASTILLA</t>
  </si>
  <si>
    <t>DTO.CASTILLA</t>
  </si>
  <si>
    <t>GENERAL ARENALES</t>
  </si>
  <si>
    <t>EST.POL.COM.GRAL.ARENALES</t>
  </si>
  <si>
    <t>JEF.POL.COM.GRAL.ARENALES</t>
  </si>
  <si>
    <t>ASCENSION</t>
  </si>
  <si>
    <t>SUBESTACION ASCENSION</t>
  </si>
  <si>
    <t>ARRIBEÑOS</t>
  </si>
  <si>
    <t>SUBESTACION ARRIBEÑOS</t>
  </si>
  <si>
    <t>FERRE</t>
  </si>
  <si>
    <t>DTO.FERRE</t>
  </si>
  <si>
    <t>LA ANGELITA</t>
  </si>
  <si>
    <t>PTO.VIG.LA ANGELITA</t>
  </si>
  <si>
    <t>PATRULLA RURAL GRAL.ARENALES</t>
  </si>
  <si>
    <t>GENERAL PINTO</t>
  </si>
  <si>
    <t>EST.POL.COM.GRAL.PINTO</t>
  </si>
  <si>
    <t>JEF.POL.COM.GRAL.PINTO</t>
  </si>
  <si>
    <t>GERMANIA</t>
  </si>
  <si>
    <t>SUBESTACION S.O.P.RODRIGUEZ</t>
  </si>
  <si>
    <t>CORONEL GRANADA</t>
  </si>
  <si>
    <t>SUBESTACION CORONEL GRANADA</t>
  </si>
  <si>
    <t>IRIARTE</t>
  </si>
  <si>
    <t>DTO.IRIARTE</t>
  </si>
  <si>
    <t>GRAL.PINTO</t>
  </si>
  <si>
    <t>PATRULLA RURAL GRAL.PINTO</t>
  </si>
  <si>
    <t>AMEGHINO</t>
  </si>
  <si>
    <t>EST.POL.COM.AMEGHINO</t>
  </si>
  <si>
    <t>JEF.POL.COM.AMEGHINO</t>
  </si>
  <si>
    <t>BLAQUIER</t>
  </si>
  <si>
    <t>DTO.BLAQUIER</t>
  </si>
  <si>
    <t>EL PORVENIR</t>
  </si>
  <si>
    <t>PTO.VIG.EL PORVENIR</t>
  </si>
  <si>
    <t>PATRULLA RURAL AMEGHINO</t>
  </si>
  <si>
    <t>LOS TOLDOS</t>
  </si>
  <si>
    <t>EST.POL.COM.GRAL.VIAMONTE</t>
  </si>
  <si>
    <t>GENERAL VIAMONTE</t>
  </si>
  <si>
    <t>PTO.VIG.ZAVALIA</t>
  </si>
  <si>
    <t>CRIA.MUJER y FLIA.G.VIAMONTE</t>
  </si>
  <si>
    <t>GRAL.VIAMONTE</t>
  </si>
  <si>
    <t>BAIGORRITA</t>
  </si>
  <si>
    <t>DTO.BAIGORRITA</t>
  </si>
  <si>
    <t>SAN EMILIO</t>
  </si>
  <si>
    <t>PTO.VIG.SAN EMILIO</t>
  </si>
  <si>
    <t>PATRULLA RURAL GRAL.VIAMONTE</t>
  </si>
  <si>
    <t>JEF.POL.COM.GRAL.VIAMONTE</t>
  </si>
  <si>
    <t>JUNIN</t>
  </si>
  <si>
    <t>CRIA.JUNIN 1RA</t>
  </si>
  <si>
    <t>MORSE</t>
  </si>
  <si>
    <t>DTO.MORSE</t>
  </si>
  <si>
    <t>DTO.LAGUNA DE GOMEZ</t>
  </si>
  <si>
    <t>VILLA BELGRANO</t>
  </si>
  <si>
    <t>CRIA.JUNIN 2DA</t>
  </si>
  <si>
    <t>AGUSTIN ROCA</t>
  </si>
  <si>
    <t>DTO.AGUSTIN ROCA</t>
  </si>
  <si>
    <t>AGUSTINA</t>
  </si>
  <si>
    <t>PTO.VIG.AGUSTINA</t>
  </si>
  <si>
    <t>FORTIN TIBURCIO</t>
  </si>
  <si>
    <t>PTO.VIG.FORTIN TIBURCIO</t>
  </si>
  <si>
    <t>SAFORCADA</t>
  </si>
  <si>
    <t>PTO.VIG.SAFORCADA</t>
  </si>
  <si>
    <t>CRIA.MUJER y FLIA.CHACABUCO</t>
  </si>
  <si>
    <t>ROJAS</t>
  </si>
  <si>
    <t>PATRULLA RURAL ROJAS</t>
  </si>
  <si>
    <t>L.N.ALEM (VEDIA)</t>
  </si>
  <si>
    <t>CRIA.VEDIA</t>
  </si>
  <si>
    <t>LEANDRO N.ALEM</t>
  </si>
  <si>
    <t>JEF.DISTRITAL LEANDRO N.ALEM</t>
  </si>
  <si>
    <t>ALBERDI</t>
  </si>
  <si>
    <t>SUBCRIA.ALBERDI</t>
  </si>
  <si>
    <t>SUBCRIA.L.N.ALEM</t>
  </si>
  <si>
    <t>EL DORADO</t>
  </si>
  <si>
    <t>PTO.VIG.EL DORADO</t>
  </si>
  <si>
    <t>FORTIN ACHA</t>
  </si>
  <si>
    <t>PTO.VIG.FORTIN ACHA</t>
  </si>
  <si>
    <t>LINCOLN</t>
  </si>
  <si>
    <t>CRIA.LINCOLN</t>
  </si>
  <si>
    <t>JEF.DISTRITAL LINCOLN</t>
  </si>
  <si>
    <t>ROBERTS</t>
  </si>
  <si>
    <t>SUBCRIA.ROBERTS</t>
  </si>
  <si>
    <t>EL TRIUNFO</t>
  </si>
  <si>
    <t>DTO.EL TRIUNFO</t>
  </si>
  <si>
    <t>PASTEUR</t>
  </si>
  <si>
    <t>DTO.PASTEUR</t>
  </si>
  <si>
    <t>MARTINEZ DE HOZ</t>
  </si>
  <si>
    <t>DTO.MARTINEZ DE HOZ</t>
  </si>
  <si>
    <t>ARENAZA</t>
  </si>
  <si>
    <t>DTO.ARENAZA</t>
  </si>
  <si>
    <t>BAYAUCA</t>
  </si>
  <si>
    <t>PTO.VIG.BAYAUCA</t>
  </si>
  <si>
    <t>CARLOS SALAS</t>
  </si>
  <si>
    <t>PTO.VIG.CARLOS SALAS</t>
  </si>
  <si>
    <t>LAS TOSCAS</t>
  </si>
  <si>
    <t>PTO.VIG.LAS TOSCAS</t>
  </si>
  <si>
    <t>EST.POL.COM.ROJAS</t>
  </si>
  <si>
    <t>JEF.POL.COM.ROJAS</t>
  </si>
  <si>
    <t>CARABELAS</t>
  </si>
  <si>
    <t>DTO.CARABELAS</t>
  </si>
  <si>
    <t>RAFAEL OBLIGADO</t>
  </si>
  <si>
    <t>DTO.RAFAEL OBLIGADO</t>
  </si>
  <si>
    <t>LOS INDIOS</t>
  </si>
  <si>
    <t>PTO.VIG.LOS INDIOS</t>
  </si>
  <si>
    <t>SALTO</t>
  </si>
  <si>
    <t>CRIA.SALTO</t>
  </si>
  <si>
    <t>PTO.VIG.GAHAN</t>
  </si>
  <si>
    <t>BERDIER</t>
  </si>
  <si>
    <t>PTO.VIG.BERDIER</t>
  </si>
  <si>
    <t>JEF.DISTRITAL SALTO</t>
  </si>
  <si>
    <t>ARROYO DULCE</t>
  </si>
  <si>
    <t>DTO.ARROYO DULCE</t>
  </si>
  <si>
    <t>INES INDART</t>
  </si>
  <si>
    <t>PTO.VIG.INES INDART</t>
  </si>
  <si>
    <t>BRAGADO</t>
  </si>
  <si>
    <t>EST.POL.COM.BRAGADO</t>
  </si>
  <si>
    <t>JEF.POL.COM.BRAGADO</t>
  </si>
  <si>
    <t>GENERAL O'BRIEN</t>
  </si>
  <si>
    <t>SUBESTACION GRAL.O'BRIEN</t>
  </si>
  <si>
    <t>MECHITA</t>
  </si>
  <si>
    <t>DTO.MECHITA</t>
  </si>
  <si>
    <t>COMODORO PY</t>
  </si>
  <si>
    <t>DTO.COMODORO PY</t>
  </si>
  <si>
    <t>IRALA</t>
  </si>
  <si>
    <t>PTO.VIG.IRALA</t>
  </si>
  <si>
    <t>WARNES</t>
  </si>
  <si>
    <t>PTO.VIG.WARNES</t>
  </si>
  <si>
    <t>OLASCOAGA</t>
  </si>
  <si>
    <t>PTO.VIG.OLASCOAGA</t>
  </si>
  <si>
    <t>EST.POL.COM.NUEVE DE JULIO</t>
  </si>
  <si>
    <t>JEF.POL.COM.NUEVE DE JULIO</t>
  </si>
  <si>
    <t>DUDIGNAC</t>
  </si>
  <si>
    <t>SUBESTACION DUDIGNAC</t>
  </si>
  <si>
    <t>FRENCH</t>
  </si>
  <si>
    <t>DTO.FRENCH</t>
  </si>
  <si>
    <t>QUIROGA</t>
  </si>
  <si>
    <t>DTO.QUIROGA</t>
  </si>
  <si>
    <t>LA NIÑA</t>
  </si>
  <si>
    <t>PTO.VIG.LA NIÑA</t>
  </si>
  <si>
    <t>PATRICIOS</t>
  </si>
  <si>
    <t>PTO.VIG.PATRICIOS</t>
  </si>
  <si>
    <t>CARLOS NAON</t>
  </si>
  <si>
    <t>PTO.VIG.NAON</t>
  </si>
  <si>
    <t>MOREA</t>
  </si>
  <si>
    <t>PTO.VIG.MOREA</t>
  </si>
  <si>
    <t>12 DE OCTUBRE</t>
  </si>
  <si>
    <t>PTO.VIG.12 DE OCTUBRE</t>
  </si>
  <si>
    <t>EL TEJAR</t>
  </si>
  <si>
    <t>PTO.VIG.EL TEJAR</t>
  </si>
  <si>
    <t>PTO.VIG.CIUDAD NUEVA</t>
  </si>
  <si>
    <t>JEF.DISTRITAL JUNIN</t>
  </si>
  <si>
    <t>CRIA.MUJER y FLIA.JUNIN</t>
  </si>
  <si>
    <t>CRIA.CHASCOMUS 1RA</t>
  </si>
  <si>
    <t>DTO.LA CORONA</t>
  </si>
  <si>
    <t>LEZAMA (M.J.COBO)</t>
  </si>
  <si>
    <t>EST.POL.COM.LEZAMA</t>
  </si>
  <si>
    <t>LEZAMA</t>
  </si>
  <si>
    <t>JEF.POL.COM.LEZAMA</t>
  </si>
  <si>
    <t>PATRULLA RURAL LEZAMA</t>
  </si>
  <si>
    <t>CRIA.DOLORES</t>
  </si>
  <si>
    <t>CRIA.MUJER y FLIA.DOLORES</t>
  </si>
  <si>
    <t>SEVIGNE</t>
  </si>
  <si>
    <t>PTO.VIG.SEVIGNE</t>
  </si>
  <si>
    <t>PJE.LOMAS DE SALOMON</t>
  </si>
  <si>
    <t>PTO.VIG.SALOMON</t>
  </si>
  <si>
    <t>CRIA.GRAL.GUIDO</t>
  </si>
  <si>
    <t>GENERAL GUIDO</t>
  </si>
  <si>
    <t>JEF.DISTRITAL GRAL.GUIDO</t>
  </si>
  <si>
    <t>LABARDEN</t>
  </si>
  <si>
    <t>PTO.VIG.LABARDEN</t>
  </si>
  <si>
    <t>GRAL.CONESA</t>
  </si>
  <si>
    <t>EST.POL.COM.GRAL.CONESA</t>
  </si>
  <si>
    <t>TORDILLO</t>
  </si>
  <si>
    <t>PATRULLA RURAL TORDILLO</t>
  </si>
  <si>
    <t>JEF.POL.COM.GRAL.CONESA</t>
  </si>
  <si>
    <t>GENERAL LAVALLE</t>
  </si>
  <si>
    <t>EST.POL.COM.GRAL.LAVALLE</t>
  </si>
  <si>
    <t>PTO.VIG.LOS ZORZALES</t>
  </si>
  <si>
    <t>GENERAL MADARIAGA</t>
  </si>
  <si>
    <t>PTO.VIG.INVERNADA</t>
  </si>
  <si>
    <t>JEF.POL.COM.GRAL.LAVALLE</t>
  </si>
  <si>
    <t>PARAJE PAVON</t>
  </si>
  <si>
    <t>SUBESTACION PAVON</t>
  </si>
  <si>
    <t>LAS CHACRAS</t>
  </si>
  <si>
    <t>PATRULLA RURAL LAS CHACRAS</t>
  </si>
  <si>
    <t>CASTELLI</t>
  </si>
  <si>
    <t>EST.POL.COM.CASTELLI</t>
  </si>
  <si>
    <t>JEF.POL.COM.CASTELLI</t>
  </si>
  <si>
    <t>PILA</t>
  </si>
  <si>
    <t>D.N.I.</t>
  </si>
  <si>
    <t>Edad</t>
  </si>
  <si>
    <t>Género</t>
  </si>
  <si>
    <t>Nacionalidad</t>
  </si>
  <si>
    <t>Estado</t>
  </si>
  <si>
    <t>Situación</t>
  </si>
  <si>
    <t>Definición de nombres y datos.</t>
  </si>
  <si>
    <t>Tipo_doc</t>
  </si>
  <si>
    <t>Ileso</t>
  </si>
  <si>
    <t>Herido</t>
  </si>
  <si>
    <t>Otros</t>
  </si>
  <si>
    <t>Aprehendido</t>
  </si>
  <si>
    <t>Detenido</t>
  </si>
  <si>
    <t>Liberado</t>
  </si>
  <si>
    <t>Sí-No</t>
  </si>
  <si>
    <t>Empleo</t>
  </si>
  <si>
    <t>Control</t>
  </si>
  <si>
    <t>Empleado</t>
  </si>
  <si>
    <t>Desocupado</t>
  </si>
  <si>
    <t>Estudiante</t>
  </si>
  <si>
    <t>Comerciante</t>
  </si>
  <si>
    <t>Jubilado</t>
  </si>
  <si>
    <t>Profesional</t>
  </si>
  <si>
    <t>Procedimiento</t>
  </si>
  <si>
    <t>Vía Pública</t>
  </si>
  <si>
    <t>Captura</t>
  </si>
  <si>
    <t>Allanamiento</t>
  </si>
  <si>
    <t>Operativo</t>
  </si>
  <si>
    <t>Dependencia</t>
  </si>
  <si>
    <t>Partido</t>
  </si>
  <si>
    <t>Localidad</t>
  </si>
  <si>
    <t>Depto_Judicial</t>
  </si>
  <si>
    <t>Tipo de comunicación</t>
  </si>
  <si>
    <t>Parte Urgente</t>
  </si>
  <si>
    <t>Adelanto Telefónico</t>
  </si>
  <si>
    <t>e-mail</t>
  </si>
  <si>
    <t>Superintendencia</t>
  </si>
  <si>
    <t>SUPERINT_POLICIAS_DE_SEGURIDAD</t>
  </si>
  <si>
    <t>SUPERINT_INVEST_FUNC_JUDICIAL</t>
  </si>
  <si>
    <t>SUPERINT_INV_TRAF_Y_DROG_ILICITAS</t>
  </si>
  <si>
    <t>SUPERINT_DE_SEGURIDAD_VIAL</t>
  </si>
  <si>
    <t>SUPERINT_DE_EVAL_INF_PREV_DELITO</t>
  </si>
  <si>
    <t>SUPERINT_INV_DELITOS_COMPLEJOS</t>
  </si>
  <si>
    <t>SUPERINT.DE EVAL. INF. PREV. DELITO</t>
  </si>
  <si>
    <t>SUPERINT. INV. DELITOS COMPLEJOS</t>
  </si>
  <si>
    <t>JEF. DEPTAL.</t>
  </si>
  <si>
    <t>_4_TRENQUE_LAUQUEN</t>
  </si>
  <si>
    <t>_3_JUNIN</t>
  </si>
  <si>
    <t>_2_PERGAMINO</t>
  </si>
  <si>
    <t>_1_SAN_NICOLAS</t>
  </si>
  <si>
    <t>_5_ZARATE_CAMPANA</t>
  </si>
  <si>
    <t>_6_MERCEDES</t>
  </si>
  <si>
    <t>_7_PEHUAJO</t>
  </si>
  <si>
    <t>_8_SAN_VICENTE</t>
  </si>
  <si>
    <t>_9_25_DE_MAYO</t>
  </si>
  <si>
    <t>_10_CHASCOMUS</t>
  </si>
  <si>
    <t>_11_AZUL</t>
  </si>
  <si>
    <t>_12_GUAMINI</t>
  </si>
  <si>
    <t>_13_PINAMAR</t>
  </si>
  <si>
    <t>_14_TANDIL</t>
  </si>
  <si>
    <t>_15_MAR_DEL_PLATA</t>
  </si>
  <si>
    <t>_16_NECOCHEA</t>
  </si>
  <si>
    <t>_17_TRES_ARROYOS</t>
  </si>
  <si>
    <t>_18_CORONEL_SUAREZ</t>
  </si>
  <si>
    <t>_19_BAHIA_BLANCA</t>
  </si>
  <si>
    <t>_20_EXALT_DE_LA_CRUZ</t>
  </si>
  <si>
    <t>_21_CONURBANO_NORTE</t>
  </si>
  <si>
    <t>_22_SAN_MARTIN</t>
  </si>
  <si>
    <t>_23_PILAR</t>
  </si>
  <si>
    <t>_24_MORENO</t>
  </si>
  <si>
    <t>_25_MORON</t>
  </si>
  <si>
    <t>_26_LA_MATANZA</t>
  </si>
  <si>
    <t>_27_MERLO</t>
  </si>
  <si>
    <t>_28_ALMIRANTE_BROWN</t>
  </si>
  <si>
    <t>_29_LANUS</t>
  </si>
  <si>
    <t>_30_LA_PLATA</t>
  </si>
  <si>
    <t>_31_DOLORES</t>
  </si>
  <si>
    <t>_32_QUILMES</t>
  </si>
  <si>
    <t>Ama de casa</t>
  </si>
  <si>
    <t>Se ignora</t>
  </si>
  <si>
    <t>Detenido - U.P.</t>
  </si>
  <si>
    <t>EST.POL.COM.PILA</t>
  </si>
  <si>
    <t>JEF.POL.COM.PILA</t>
  </si>
  <si>
    <t>CASALINS</t>
  </si>
  <si>
    <t>PTO.VIG.S.O.M.ZABALA</t>
  </si>
  <si>
    <t>SANTA TERESITA</t>
  </si>
  <si>
    <t>CRIA.DE LA COSTA 1RA</t>
  </si>
  <si>
    <t>MUN.URB.DE LA COSTA</t>
  </si>
  <si>
    <t>LAS TONINAS</t>
  </si>
  <si>
    <t>SUBCRIA.LAS TONINAS</t>
  </si>
  <si>
    <t>COSTA DEL ESTE</t>
  </si>
  <si>
    <t>DTO.COSTA DEL ESTE</t>
  </si>
  <si>
    <t>MAR DEL TUYU</t>
  </si>
  <si>
    <t>CRIA.DE LA COSTA 5TA</t>
  </si>
  <si>
    <t>MAR DE AJO</t>
  </si>
  <si>
    <t>CRIA.DE LA COSTA 2DA</t>
  </si>
  <si>
    <t>DTO.NUEVA ATLANTIS</t>
  </si>
  <si>
    <t>SAN CLEMENTE DEL TUYU</t>
  </si>
  <si>
    <t>CRIA.DE LA COSTA 3RA</t>
  </si>
  <si>
    <t>DTO.MONTOYA</t>
  </si>
  <si>
    <t>SAN BERNARDO</t>
  </si>
  <si>
    <t>CRIA.DE LA COSTA 4TA</t>
  </si>
  <si>
    <t>LA LUCILA DEL MAR</t>
  </si>
  <si>
    <t>DTO.LA LUCILA DEL MAR</t>
  </si>
  <si>
    <t>OSTENDE</t>
  </si>
  <si>
    <t>SUBESTACION OSTENDE</t>
  </si>
  <si>
    <t>VILLA GESELL</t>
  </si>
  <si>
    <t>CRIA.VILLA GESELL 1RA</t>
  </si>
  <si>
    <t>CRIA.VILLA GESELL 2DA</t>
  </si>
  <si>
    <t>DTO.MAR DE LAS PAMPAS</t>
  </si>
  <si>
    <t>EST.POL.COM.PINAMAR</t>
  </si>
  <si>
    <t>JEF.POL.COM.PINAMAR</t>
  </si>
  <si>
    <t>CARILO</t>
  </si>
  <si>
    <t>SUBESTACION CARILO</t>
  </si>
  <si>
    <t>VALERIA DEL MAR</t>
  </si>
  <si>
    <t>SUBESTACION VALERIA DEL MAR</t>
  </si>
  <si>
    <t>PARAJE GORCHS</t>
  </si>
  <si>
    <t>DTO.GORCHS</t>
  </si>
  <si>
    <t>GENERAL BELGRANO</t>
  </si>
  <si>
    <t>DTO.EL SALADO</t>
  </si>
  <si>
    <t>GRAL.BELGRANO</t>
  </si>
  <si>
    <t>EST.POL.COM.GRAL.BELGRANO</t>
  </si>
  <si>
    <t>JEF.POL.COM.GRAL.BELGRANO</t>
  </si>
  <si>
    <t>CHUMBEADA</t>
  </si>
  <si>
    <t>PTO.VIG.LA CHUMBEADA</t>
  </si>
  <si>
    <t>PTO.VIG.LA COLONIA</t>
  </si>
  <si>
    <t>CRIA.MUJER y FLIA.CHASCOMUS</t>
  </si>
  <si>
    <t>EST.POL.COM.GRAL.MADARIAGA</t>
  </si>
  <si>
    <t>CRIA.MUJER y FLIA.G.MADARIAGA</t>
  </si>
  <si>
    <t>JEF.POL.COM.GRAL.MADARIAGA</t>
  </si>
  <si>
    <t>MAIPU</t>
  </si>
  <si>
    <t>EST.POL.COM.MAIPU</t>
  </si>
  <si>
    <t>PTO.VIG.LAS ARMAS</t>
  </si>
  <si>
    <t>JEF.POL.COM.MAIPU</t>
  </si>
  <si>
    <t>SANTO DOMINGO</t>
  </si>
  <si>
    <t>PTO.VIG.SANTO DOMINGO</t>
  </si>
  <si>
    <t>AYACUCHO</t>
  </si>
  <si>
    <t>EST.POL.COM.AYACUCHO</t>
  </si>
  <si>
    <t>JEF.POL.COM.AYACUCHO</t>
  </si>
  <si>
    <t>UDAQUIOLA</t>
  </si>
  <si>
    <t>PTO.VIG.UDAQUIOLA</t>
  </si>
  <si>
    <t>BOLIVAR</t>
  </si>
  <si>
    <t>CRIA.BOLIVAR</t>
  </si>
  <si>
    <t>JEF.DISTRITAL BOLIVAR</t>
  </si>
  <si>
    <t>URDANPILLETA</t>
  </si>
  <si>
    <t>SUBCRIA.URDAMPILLETA</t>
  </si>
  <si>
    <t>PIROVANO</t>
  </si>
  <si>
    <t>DTO.PIROVANO</t>
  </si>
  <si>
    <t>RIVADAVIA</t>
  </si>
  <si>
    <t>PTO.VIG.HALE</t>
  </si>
  <si>
    <t>JUAN F.IBARRA</t>
  </si>
  <si>
    <t>PTO.VIG.JUAN F.IBARRA</t>
  </si>
  <si>
    <t>DAIREAUX</t>
  </si>
  <si>
    <t>EST.POL.COM.DAIREAUX</t>
  </si>
  <si>
    <t>JEF.POL.COM.DAIREAUX</t>
  </si>
  <si>
    <t>SALAZAR</t>
  </si>
  <si>
    <t>SUBESTACION SALAZAR</t>
  </si>
  <si>
    <t>ARBOLEDAS</t>
  </si>
  <si>
    <t>DTO.ARBOLEDAS</t>
  </si>
  <si>
    <t>LA LARGA</t>
  </si>
  <si>
    <t>PTO.VIG.LA LARGA</t>
  </si>
  <si>
    <t>PTO.VIG.ANDANT</t>
  </si>
  <si>
    <t>CARLOS CASARES</t>
  </si>
  <si>
    <t>CRIA.CARLOS CASARES</t>
  </si>
  <si>
    <t>JEF.DISTRITAL CARLOS CASARES</t>
  </si>
  <si>
    <t>CRIA.MUJER y FLIA.C.CASARES</t>
  </si>
  <si>
    <t>BELLOCQ</t>
  </si>
  <si>
    <t>DTO.BELLOCQ</t>
  </si>
  <si>
    <t>HORTENSIA</t>
  </si>
  <si>
    <t>PTO.VIG.HORTENSIA</t>
  </si>
  <si>
    <t>ORDOQUI</t>
  </si>
  <si>
    <t>PTO.VIG.ORDOQUI</t>
  </si>
  <si>
    <t>SMITH</t>
  </si>
  <si>
    <t>PTO.VIG.SMITH</t>
  </si>
  <si>
    <t>MOCTEZUMA</t>
  </si>
  <si>
    <t>PTO.VIG.MOCTEZUMA</t>
  </si>
  <si>
    <t>CADRET</t>
  </si>
  <si>
    <t>PTO.VIG.CADRET</t>
  </si>
  <si>
    <t>CARLOS PELLEGRINI</t>
  </si>
  <si>
    <t>CRIA.CARLOS PELLEGRINI</t>
  </si>
  <si>
    <t>JEF.DISTRITAL C.PELLEGRINI</t>
  </si>
  <si>
    <t>CARLOS TEJEDOR</t>
  </si>
  <si>
    <t>EST.POL.COM.CARLOS TEJEDOR</t>
  </si>
  <si>
    <t>JEF.POL.COM.CARLOS TEJEDOR</t>
  </si>
  <si>
    <t>PATRULLA RURAL CARLOS TEJEDOR</t>
  </si>
  <si>
    <t>TRES ALGARROBOS</t>
  </si>
  <si>
    <t>SUBESTACION TRES ALGARROBOS</t>
  </si>
  <si>
    <t>COLONIA SERE</t>
  </si>
  <si>
    <t>PTO.VIG.COLONIA SERE</t>
  </si>
  <si>
    <t>TIMOTE</t>
  </si>
  <si>
    <t>PTO.VIG.TIMOTE</t>
  </si>
  <si>
    <t>CURARU</t>
  </si>
  <si>
    <t>PTO.VIG.CURARU</t>
  </si>
  <si>
    <t>GENERAL VILLEGAS</t>
  </si>
  <si>
    <t>EST.POL.COM.GRAL.VILLEGAS</t>
  </si>
  <si>
    <t>JEF.POL.COM.GRAL.VILLEGAS</t>
  </si>
  <si>
    <t>EMILIO BUNGE</t>
  </si>
  <si>
    <t>DTO.EMILIO BUNGE</t>
  </si>
  <si>
    <t>CRIA.MUJER y FLIA.G.VILLEGAS</t>
  </si>
  <si>
    <t>CANADA SECA</t>
  </si>
  <si>
    <t>DTO.CAÑADA SECA</t>
  </si>
  <si>
    <t>BANDERALO</t>
  </si>
  <si>
    <t>DTO.BANDERALO</t>
  </si>
  <si>
    <t>PIEDRITAS</t>
  </si>
  <si>
    <t>COVICO</t>
  </si>
  <si>
    <t>LA TOSQUERA</t>
  </si>
  <si>
    <t>GAHAN</t>
  </si>
  <si>
    <t>PIGÜE</t>
  </si>
  <si>
    <t>PABLO PODESTA</t>
  </si>
  <si>
    <t>01-JEFATURA DEP.SAN NICOLAS</t>
  </si>
  <si>
    <t>02-JEFATURA DEP.PERGAMINO</t>
  </si>
  <si>
    <t>03-JEFATURA DEP.JUNIN</t>
  </si>
  <si>
    <t>04-JEFATURA DEP.TRENQUE LAUQUEN</t>
  </si>
  <si>
    <t>05-JEFATURA DEP.ZARATE-CAMPANA</t>
  </si>
  <si>
    <t>06-JEFATURA DEP.MERCEDES</t>
  </si>
  <si>
    <t>CIUDAD NUEVA</t>
  </si>
  <si>
    <t>07-JEFATURA DEP.PEHUAJO</t>
  </si>
  <si>
    <t>08-JEFATURA DEP.SAN VICENTE</t>
  </si>
  <si>
    <t>09-JEFATURA DEP.25 DE MAYO</t>
  </si>
  <si>
    <t>10-JEFATURA DEP.CHASCOMUS</t>
  </si>
  <si>
    <t>11-JEFATURA DEP.AZUL</t>
  </si>
  <si>
    <t>12-JEFATURA DEP.GUAMINI</t>
  </si>
  <si>
    <t>E.GASCON</t>
  </si>
  <si>
    <t>13-JEFATURA DEP.PINAMAR</t>
  </si>
  <si>
    <t>14-JEFATURA DEP.TANDIL</t>
  </si>
  <si>
    <t>15-JEFATURA DEP.MAR DEL PLATA</t>
  </si>
  <si>
    <t>16-JEFATURA DEP.NECOCHEA</t>
  </si>
  <si>
    <t>17-JEFATURA DEP.TRES ARROYOS</t>
  </si>
  <si>
    <t>LA VIRGINIA</t>
  </si>
  <si>
    <t>PERALTA</t>
  </si>
  <si>
    <t>18-JEFATURA DEP.CORONEL SUAREZ</t>
  </si>
  <si>
    <t>ZONA NORTE</t>
  </si>
  <si>
    <t>LA SALADA</t>
  </si>
  <si>
    <t>19-JEFATURA DEP.BAHIA BLANCA</t>
  </si>
  <si>
    <t>20-JEFATURA DEP.EXALT.DE LA CRUZ</t>
  </si>
  <si>
    <t>VIRREYES OESTE</t>
  </si>
  <si>
    <t>LAS BARRANCAS</t>
  </si>
  <si>
    <t>LAS LOMAS DE SAN ISIDRO</t>
  </si>
  <si>
    <t>VILLA ADELINA</t>
  </si>
  <si>
    <t>LA HORQUETA.</t>
  </si>
  <si>
    <t>LOMA DE ROCA</t>
  </si>
  <si>
    <t>21-JEFATURA DEP.CONURBANO NORTE</t>
  </si>
  <si>
    <t>22-JEFATURA DEP.SAN MARTIN</t>
  </si>
  <si>
    <t>SANTA ANA</t>
  </si>
  <si>
    <t>23-JEFATURA DEP.PILAR</t>
  </si>
  <si>
    <t>24-JEFATURA DEP.MORENO</t>
  </si>
  <si>
    <t>25-JEFATURA DEP.MORON</t>
  </si>
  <si>
    <t>26-JEFATURA DEP.LA MATANZA</t>
  </si>
  <si>
    <t>27-JEFATURA DEP.MERLO</t>
  </si>
  <si>
    <t>MINISTRO RIVADAVIA</t>
  </si>
  <si>
    <t>ISLAS MALVINAS ARGENTINAS</t>
  </si>
  <si>
    <t>28-JEFATURA DEP.ALMIRANTE BROWN</t>
  </si>
  <si>
    <t>29-JEFATURA DEP.LANUS</t>
  </si>
  <si>
    <t>30-JEFATURA DEP.LA PLATA</t>
  </si>
  <si>
    <t>31-JEFATURA DEP.DOLORES</t>
  </si>
  <si>
    <t>32-JEFATURA DEP.QUILMES</t>
  </si>
  <si>
    <t>EL SALADO</t>
  </si>
  <si>
    <t>DTO.VIAL C.D.PATAGONES</t>
  </si>
  <si>
    <t>DTO.LOS POZOS</t>
  </si>
  <si>
    <t>PTO.VIG.LOS EUCALIPTOS</t>
  </si>
  <si>
    <t>SAN VICENTE</t>
  </si>
  <si>
    <t>CRIA.SAN VICENTE 1RA</t>
  </si>
  <si>
    <t>JEF.DISTRITAL SAN VICENTE</t>
  </si>
  <si>
    <t>CRIA.PTE.PERON</t>
  </si>
  <si>
    <t>PRESIDENTE PERON</t>
  </si>
  <si>
    <t>ALEJANDRO KORN</t>
  </si>
  <si>
    <t>CRIA.SAN VICENTE 2DA</t>
  </si>
  <si>
    <t>DOMSELAAR</t>
  </si>
  <si>
    <t>DTO.DOMSELAAR</t>
  </si>
  <si>
    <t>SUPERINT_DE_SEGURIDAD_RURAL</t>
  </si>
  <si>
    <t>PATRULLA RURAL RAMALLO</t>
  </si>
  <si>
    <t>PATRULLA RURAL SAN NICOLAS</t>
  </si>
  <si>
    <t>PATRULLA RURAL SAN PEDRO</t>
  </si>
  <si>
    <t>PATRULLA RURAL ARRECIFES</t>
  </si>
  <si>
    <t>PATRULLA RURAL PERGAMINO</t>
  </si>
  <si>
    <t>JEF.ZONAL SEG.RURAL PERGAMINO</t>
  </si>
  <si>
    <t>PATRULLA RURAL SALTO</t>
  </si>
  <si>
    <t>PATRULLA RURAL CHACABUCO</t>
  </si>
  <si>
    <t>PATRULLA RURAL JUNIN</t>
  </si>
  <si>
    <t>PATRULLA RURAL VEDIA</t>
  </si>
  <si>
    <t>PATRULLA RURAL LINCOLN</t>
  </si>
  <si>
    <t>SUBJEF.ZON.SEG.RURAL LINCOLN</t>
  </si>
  <si>
    <t>PATRULLA RURAL RIVADAVIA</t>
  </si>
  <si>
    <t>PATRULLA RURAL TRENQUE LAUQUEN</t>
  </si>
  <si>
    <t>PATRULLA RURAL ZARATE</t>
  </si>
  <si>
    <t>PATRULLA RURAL LUJAN</t>
  </si>
  <si>
    <t>JEF.ZONAL SEG.RURAL CHIVILCOY</t>
  </si>
  <si>
    <t>PATRULLA RURAL NAVARRO</t>
  </si>
  <si>
    <t>PATRULLA RURAL S.A.DE GILES</t>
  </si>
  <si>
    <t>PATRULLA RURAL CARLOS CASARES</t>
  </si>
  <si>
    <t>JEF.ZONAL SEG.RURAL PEHUAJO</t>
  </si>
  <si>
    <t>SUBJEF.ZON.SEG.RURAL CAÑUELAS</t>
  </si>
  <si>
    <t>PATRULLA RURAL 25 DE MAYO</t>
  </si>
  <si>
    <t>PATRULLA RURAL BOLIVAR</t>
  </si>
  <si>
    <t>PATRULLA RURAL CHASCOMUS</t>
  </si>
  <si>
    <t>PATRULLA RURAL AZUL</t>
  </si>
  <si>
    <t>JEF.ZONAL SEG.RURAL OLAVARRIA</t>
  </si>
  <si>
    <t>PATRULLA RURAL OLAVARRIA</t>
  </si>
  <si>
    <t>PATRULLA RURAL C.PELLEGRINI</t>
  </si>
  <si>
    <t>PATRULLA RURAL SALLIQUELO</t>
  </si>
  <si>
    <t>PATRULLA RURAL TRES LOMAS</t>
  </si>
  <si>
    <t>PATRULLA RURAL TANDIL</t>
  </si>
  <si>
    <t>PATRULLA RURAL MAR DEL PLATA</t>
  </si>
  <si>
    <t>PATRULLA RURAL NECOCHEA</t>
  </si>
  <si>
    <t>PATRULLA RURAL CORONEL DORREGO</t>
  </si>
  <si>
    <t>JEF.ZONAL SEG.RURAL T.ARROYOS</t>
  </si>
  <si>
    <t>PATRULLA RURAL PIGÜE</t>
  </si>
  <si>
    <t>PATRULLA RURAL BAHIA BLANCA</t>
  </si>
  <si>
    <t>PATRULLA RURAL S.A.DE ARECO</t>
  </si>
  <si>
    <t>PATRULLA RURAL CASTELLI</t>
  </si>
  <si>
    <t>JEF.ZONAL SEG.RURAL DOLORES</t>
  </si>
  <si>
    <t>PATRULLA RURAL DOLORES</t>
  </si>
  <si>
    <t>PATRULLA RURAL GRAL.GUIDO</t>
  </si>
  <si>
    <t>33-JEFATURA DEP.BERISSO-ENSENADA</t>
  </si>
  <si>
    <t>JEF_DEPTALES</t>
  </si>
  <si>
    <t>SUPERINT_ZONA</t>
  </si>
  <si>
    <t>SUPERINT. SEG. NORTE</t>
  </si>
  <si>
    <t>SUPERINT. SEG. OESTE</t>
  </si>
  <si>
    <t>SUPERINT. SEG. INTERIOR NORTE</t>
  </si>
  <si>
    <t>SUPERINT. SEG. INTERIOR CENTRO</t>
  </si>
  <si>
    <t>SUPERINT. SEG. INTERIOR SUR</t>
  </si>
  <si>
    <t>CRIA.MAR DEL PLATA 10MA</t>
  </si>
  <si>
    <t>Evadido</t>
  </si>
  <si>
    <t>DIR.DEP.INV.ALTE. BROWN</t>
  </si>
  <si>
    <t>34-JEFATURA DEP.LOMAS DE ZAMORA</t>
  </si>
  <si>
    <t>35-JEFATURA DEP.TRES DE FEBRERO</t>
  </si>
  <si>
    <t>SUPERINT. SEG. SUR 2</t>
  </si>
  <si>
    <t>SUPERINT. SEG. SUR 1</t>
  </si>
  <si>
    <t>36-JEFATURA DEP.FCIO. VARELA</t>
  </si>
  <si>
    <t>FEMENINO</t>
  </si>
  <si>
    <t>MASCULINO</t>
  </si>
  <si>
    <t>SI</t>
  </si>
  <si>
    <t>NO</t>
  </si>
  <si>
    <t>ARGENTINA</t>
  </si>
  <si>
    <t>BOLIVIANA</t>
  </si>
  <si>
    <t>BRASILEÑA</t>
  </si>
  <si>
    <t>CHILENA</t>
  </si>
  <si>
    <t>COLOMBIANA</t>
  </si>
  <si>
    <t>ECUATORIANA</t>
  </si>
  <si>
    <t>PARAGUAYA</t>
  </si>
  <si>
    <t>PERUANA</t>
  </si>
  <si>
    <t>URUGUAYA</t>
  </si>
  <si>
    <t>VENEZOLANA</t>
  </si>
  <si>
    <t>OTROS</t>
  </si>
  <si>
    <t>GENERO</t>
  </si>
  <si>
    <t>TIPO DOC</t>
  </si>
  <si>
    <t>NACIONALIDAD</t>
  </si>
  <si>
    <t>EDAD</t>
  </si>
  <si>
    <t>DEPENDENCIA</t>
  </si>
  <si>
    <t>JEF. DPTAL</t>
  </si>
  <si>
    <t>Nº DOC</t>
  </si>
  <si>
    <t>EMBARAZO</t>
  </si>
  <si>
    <t>JUZGADO GTIAS.</t>
  </si>
  <si>
    <t>FISCALIA</t>
  </si>
  <si>
    <t>DEPTO. JUDICIAL</t>
  </si>
  <si>
    <t>OBSERVACIONES</t>
  </si>
  <si>
    <t>CEDULA</t>
  </si>
  <si>
    <t>PASAPORTE</t>
  </si>
  <si>
    <t>LIC. CONDUCIR</t>
  </si>
  <si>
    <t>SAN NICOLÁS</t>
  </si>
  <si>
    <t>BAHÍA BLANCA</t>
  </si>
  <si>
    <t>JUNÍN</t>
  </si>
  <si>
    <t>MORÓN</t>
  </si>
  <si>
    <t>SAN MARTÍN</t>
  </si>
  <si>
    <t>ZÁRATE-CAMPANA</t>
  </si>
  <si>
    <t>Id</t>
  </si>
  <si>
    <t>Descripcion</t>
  </si>
  <si>
    <t>EspecieDelictiva</t>
  </si>
  <si>
    <t>SubEspecieDelictiva</t>
  </si>
  <si>
    <t>PERSONAS</t>
  </si>
  <si>
    <t>HOMICIDIO</t>
  </si>
  <si>
    <t>OTROS (C/LAS PERSONAS)</t>
  </si>
  <si>
    <t>LESIONES</t>
  </si>
  <si>
    <t>OTROS DELITOS</t>
  </si>
  <si>
    <t>AB ARMA</t>
  </si>
  <si>
    <t>INTEGRIDAD SEXUAL</t>
  </si>
  <si>
    <t>OTROS (C/INT. SEXUAL)</t>
  </si>
  <si>
    <t>VIOLACION</t>
  </si>
  <si>
    <t>PRIV ILEGAL LIB</t>
  </si>
  <si>
    <t>PROPIEDAD</t>
  </si>
  <si>
    <t>HURTO</t>
  </si>
  <si>
    <t>ROBO</t>
  </si>
  <si>
    <t>EXTORSION</t>
  </si>
  <si>
    <t>ESTAFA</t>
  </si>
  <si>
    <t>OTROS (C/PROPIEDAD)</t>
  </si>
  <si>
    <t>SEGURIDAD PÚBLICA</t>
  </si>
  <si>
    <t>OTROS (C/SEG.PUBLICA)</t>
  </si>
  <si>
    <t>DAÑOS</t>
  </si>
  <si>
    <t>INCENDIO</t>
  </si>
  <si>
    <t>TENENCIA ARMA</t>
  </si>
  <si>
    <t>ORDEN PÚBLICO</t>
  </si>
  <si>
    <t>ASOC ILICITA</t>
  </si>
  <si>
    <t>INT PCA</t>
  </si>
  <si>
    <t>ADMINISTRACIÓN PÚBLICA</t>
  </si>
  <si>
    <t>COHECHO</t>
  </si>
  <si>
    <t>EXAC ILEGALES</t>
  </si>
  <si>
    <t>FALSA DENUNCIA</t>
  </si>
  <si>
    <t>ENCUBRIMIENTO</t>
  </si>
  <si>
    <t>EVASION</t>
  </si>
  <si>
    <t>USURPACION</t>
  </si>
  <si>
    <t>LEY 23737</t>
  </si>
  <si>
    <t>ABIGEATO</t>
  </si>
  <si>
    <t>AUTOMOTOR</t>
  </si>
  <si>
    <t>ESPECIE</t>
  </si>
  <si>
    <t>SUBESPECIE</t>
  </si>
  <si>
    <t>SELECCIONE CARATULA</t>
  </si>
  <si>
    <t>Nº I.P.P</t>
  </si>
  <si>
    <t>HOMICIDIO CALIFICADOS</t>
  </si>
  <si>
    <t>HOMICIDIO EMOCIONAL</t>
  </si>
  <si>
    <t>HOMICIDIO PRETERINTENCIONAL</t>
  </si>
  <si>
    <t>INSTIGACIÓN AL SUICIDIO</t>
  </si>
  <si>
    <t>HOMICIDIO CULPOSO SIMPLE</t>
  </si>
  <si>
    <t>HOMICIDIO CULPSO CALIFICADO</t>
  </si>
  <si>
    <t>ABORTO SIN CONSENTIMIENTO SIMPLE</t>
  </si>
  <si>
    <t>ABORTO SIN CONSENTIMIENTO AGRAVADO</t>
  </si>
  <si>
    <t>ABORTO CON CONSENTIMIENTO SIMPLE</t>
  </si>
  <si>
    <t>ABORTO CON CONSENTIMIENTO AGRAVADO</t>
  </si>
  <si>
    <t>ABORTO POR PROFESIONALES DE LA SALUD</t>
  </si>
  <si>
    <t>ABORTO</t>
  </si>
  <si>
    <t>LESIONES GRAVES</t>
  </si>
  <si>
    <t>LESIONES GRAVISIMAS</t>
  </si>
  <si>
    <t>LESIONES GRAVES AGRAVADAS</t>
  </si>
  <si>
    <t>LESIONES GRAVISIMAS ATENUADAS</t>
  </si>
  <si>
    <t>HOMICIDIO EN RIÑA</t>
  </si>
  <si>
    <t>LESIONES GRAVES O GRAVISIMAS EN RIÑA</t>
  </si>
  <si>
    <t>DUELO REGULAR CON MUERTE O LESIONES DE LOS ART. 90</t>
  </si>
  <si>
    <t>DUELO IRREGULAR CON MUERTE</t>
  </si>
  <si>
    <t>DUELO IRREGULAR CON LESIONES DE LOS ART 90 Y 91</t>
  </si>
  <si>
    <t>INSTIGACION AL DUELO CON MUERTE O LESIONES DE LOS</t>
  </si>
  <si>
    <t>DUELO PROVOCACION, POR INTERES</t>
  </si>
  <si>
    <t>DUELO PROVOCACION, CON LESIONES</t>
  </si>
  <si>
    <t>DUELO PROVOCACION, CON MUERTE</t>
  </si>
  <si>
    <t>DUELO -COMBATIENTE DESLEAL - LESIONES</t>
  </si>
  <si>
    <t>DUELO -COMBATIENTE DESLEAL - MUERTE</t>
  </si>
  <si>
    <t>DUELO -PADRINOS QUE USAREN ALEVOSIA</t>
  </si>
  <si>
    <t>ABANDONO DE PERSONA</t>
  </si>
  <si>
    <t>ABANDONO DE PERSONA CON GRAVE DAÑO</t>
  </si>
  <si>
    <t>ABANDONO DE PERSONA CON MUERTE</t>
  </si>
  <si>
    <t>ABUSO SEXUAL SIMPLE</t>
  </si>
  <si>
    <t>ABUSO SEXUAL GRAVEMENTE ULTRAJANTE</t>
  </si>
  <si>
    <t>ABUSO SEXUAL CON ACCESO CARNAL (VIOLACION)</t>
  </si>
  <si>
    <t>ABUSO SEXUAL SIMPLE CALIFICADO</t>
  </si>
  <si>
    <t>ESTUPRO</t>
  </si>
  <si>
    <t>ESTUPRO CALIFICADO</t>
  </si>
  <si>
    <t>CORRUPCION DE MENORES DE 18 AÑOS</t>
  </si>
  <si>
    <t>PROSTITUCION DE UNA PERSONA, EXPLOTACIÓN ECONÓMICA</t>
  </si>
  <si>
    <t>PROMOVER O FACILITAR LA ENTRADA O SALIDA DEL PAIS</t>
  </si>
  <si>
    <t>PROMOCION, PUBLICACION O DISTRIBUCION DE IMAGENES</t>
  </si>
  <si>
    <t>EXHIBICIONES OBSCENAS AGRAVADAS</t>
  </si>
  <si>
    <t>RAPTO PROPIO</t>
  </si>
  <si>
    <t>RAPTO PROPIO AGRAVADO (MENOR DE 13 AÑOS)</t>
  </si>
  <si>
    <t>RAPTO MENOR DE 12 AÑOS</t>
  </si>
  <si>
    <t>MATRIMONIO ILEGAL SIMPLE</t>
  </si>
  <si>
    <t>MATRIMONIO ILEGAL CALIFICADO</t>
  </si>
  <si>
    <t>SIMULACION DE MATRIMONIO</t>
  </si>
  <si>
    <t>SUPRESION O SUPOSICION DEL ESTADO CIVIL</t>
  </si>
  <si>
    <t>SUPOSICION DE PREÑEZ O PARTO</t>
  </si>
  <si>
    <t>SUPRESION O SUPOSICION DE IDENTIDAD DE MENOR DE 10</t>
  </si>
  <si>
    <t>REDUCCIÓN A SERVIDUMBRE</t>
  </si>
  <si>
    <t>PRIVACION ILEGAL DE LA LIBERTAD CALIFICADA</t>
  </si>
  <si>
    <t>SECUESTRO EXTORSIVO SIMPLE</t>
  </si>
  <si>
    <t>SECUESTRO EXTORSIVO CALIFICADO</t>
  </si>
  <si>
    <t>SECUESTRO EXTORSIVO SEGUIDO DE MUERTE</t>
  </si>
  <si>
    <t>DETENCIONES ILEGALES AGRAVADAS</t>
  </si>
  <si>
    <t>APREMIOS ILEGALES SOBRE PRESOS</t>
  </si>
  <si>
    <t>TORTURAS</t>
  </si>
  <si>
    <t>TORTURA SEGUIDA DE MUERTE</t>
  </si>
  <si>
    <t>TORTURA CON LESIONES GRAVISIMAS</t>
  </si>
  <si>
    <t>TORURA, OMISION DE EVITARLA</t>
  </si>
  <si>
    <t>TORTURA, OMISION DE DENUNCIARLA</t>
  </si>
  <si>
    <t>SUSTRACCION DE MENOR DE 10 AÑOS</t>
  </si>
  <si>
    <t>NO PRESENTACION DE UN MENOR DE 10 AÑOS A SUS PADRE</t>
  </si>
  <si>
    <t>AMENAZA EXTORSIVA (COACCION)</t>
  </si>
  <si>
    <t>COACCION CON ARMAS O ANONIMAS</t>
  </si>
  <si>
    <t>COACCION PARA OBTENER UNA MEDIDA O CONCESIÓN</t>
  </si>
  <si>
    <t>VIOLACION DE CORREPONDENCIA POR EMPLEADO DE CORREO</t>
  </si>
  <si>
    <t>HURTO CALIFICADO</t>
  </si>
  <si>
    <t>ROBO CALIFICADO (POBLADO Y BANDA)</t>
  </si>
  <si>
    <t>EXTORSION CON OBJETO DOCUMENTAL</t>
  </si>
  <si>
    <t>EXTORSION ATENUADA (HONOR Y SECRETOS)</t>
  </si>
  <si>
    <t>EXTORSION CLASIFICADA / SECUESTRO RESCATE</t>
  </si>
  <si>
    <t>SECUESTRO DE CADAVER</t>
  </si>
  <si>
    <t>DEFRAUDACIONES VARIAS</t>
  </si>
  <si>
    <t>DEFRAUDACIONES CALIFICADAS</t>
  </si>
  <si>
    <t>USURA AGRAVADA</t>
  </si>
  <si>
    <t>QUIEBRA FRAUDULENTA</t>
  </si>
  <si>
    <t>QUIEBRA FRAUDULENTA DE SOCIEDADES</t>
  </si>
  <si>
    <t>CONCURSO CIVIL FRAUDULENTO</t>
  </si>
  <si>
    <t>DAÑO CALIFICADO</t>
  </si>
  <si>
    <t>INCENDIO, EXPLOSION O INUNDACIÓN</t>
  </si>
  <si>
    <t>INCENDIO O DESTRUCCION ESPECIFICOS</t>
  </si>
  <si>
    <t>INCENDIOS, AGRAVANTES VARIOS</t>
  </si>
  <si>
    <t>INCENDIO AGRAVADO POR PELIGRO DE MUERTE</t>
  </si>
  <si>
    <t>INCENDIO AGRAVADO POR CAUSA INMEDIATA DE MUERTE</t>
  </si>
  <si>
    <t>ESTRAGOS</t>
  </si>
  <si>
    <t>ESTRAGOS CALIFICADOS</t>
  </si>
  <si>
    <t>FABRICACION O TENENCIA DE BOMBAS U OTRO MATERIALES</t>
  </si>
  <si>
    <t>ACOPIO DE ARMAS</t>
  </si>
  <si>
    <t>ACOPIO DE ARMAS DE GUERRA</t>
  </si>
  <si>
    <t>PUESTA EN PELIGRO DE NAVE</t>
  </si>
  <si>
    <t>PUESTA EN PELIGRO DE NAVE CALIFICADO POR LESIONES</t>
  </si>
  <si>
    <t>PUESTA EN PELIGRO DE NAVE CALIFICADO POR MUERTE</t>
  </si>
  <si>
    <t>ATENTADO CONTRA FERROCARRIL AGRAVADO POR LESIONES</t>
  </si>
  <si>
    <t>ATENTADO CONTRA FERROCARRIL AGRAVADO POR MUERTE</t>
  </si>
  <si>
    <t>PIRATERIA (AEREA Y ACUATICA)</t>
  </si>
  <si>
    <t>PIRATERIA SEGUIDA DE MUERTE</t>
  </si>
  <si>
    <t>ENVENENAMIENTO O ADULTERACION DE AGUAS ALIMENTOS O</t>
  </si>
  <si>
    <t>PROPAGACION DE ENFERMEDAD PELIGROSA O CONTAGIOSA</t>
  </si>
  <si>
    <t>FORMA CULPOSA DEL ART. 200 Y 202 AGRAVADO POR RESU</t>
  </si>
  <si>
    <t>INSTIGACION A COMETER DELITOS</t>
  </si>
  <si>
    <t>ASOCIACIÓN ILICITA</t>
  </si>
  <si>
    <t>JEFE DE ASOCIACION ILICITA</t>
  </si>
  <si>
    <t>ASOCIACIÓN ILICTA CONTRA LA CONSTITUCION NACIONAL</t>
  </si>
  <si>
    <t>INTIMIDACIÓN PÚBLICA</t>
  </si>
  <si>
    <t>INTIMIDACIÓN PÚBLICA CALIFICADA</t>
  </si>
  <si>
    <t>INCITACION A LA VIOLENCIA COLECTIVA</t>
  </si>
  <si>
    <t>TRAICION</t>
  </si>
  <si>
    <t>TRAICION AGRAVADA</t>
  </si>
  <si>
    <t>CONSPIRACION PARA COMETER TRAICION</t>
  </si>
  <si>
    <t>TRAICION CONTRA POTENCIA ALIADA</t>
  </si>
  <si>
    <t>TRAICION POR EXTRANJEROS RESIDENTES</t>
  </si>
  <si>
    <t>PELIGRO DE GUERRA POR ACTOS HOSTILES</t>
  </si>
  <si>
    <t>REVELACION DE SECRETOS POLITICOS O MILITARES</t>
  </si>
  <si>
    <t>OBTENCION DE LA REVELACION DEL SECRETO</t>
  </si>
  <si>
    <t>INFIDELIDAD DIPLOMATICA</t>
  </si>
  <si>
    <t>REBELION, ALZAMIENTO CONTRA LA CONSTITUCION</t>
  </si>
  <si>
    <t>REBELION AGRAVADA</t>
  </si>
  <si>
    <t>REBELION AGRAVADA POR SER MILITAR</t>
  </si>
  <si>
    <t>CONCESION DE LA SUMA DEL PODER PUBLICO</t>
  </si>
  <si>
    <t>CONSENTIR EL ALZAMIENTO CONTRA LA CONSTITUCION</t>
  </si>
  <si>
    <t>COLABORAR CON GOBIERNO DE FACTO</t>
  </si>
  <si>
    <t>SEDICION</t>
  </si>
  <si>
    <t>ARROGARSE DERECHO Y REPRESENTACION DEL PUEBLO</t>
  </si>
  <si>
    <t>ALZAMIENTO CONTRA LA EJECUCION DE LAS LEYES</t>
  </si>
  <si>
    <t>REQUERIMIENTO INDEBIDO DE LA FUERZA PÚBLICA</t>
  </si>
  <si>
    <t>VIOLACION DE PRUEBA, REGISTROS Y DOCUMENTOS</t>
  </si>
  <si>
    <t>COHECHO PASIVO</t>
  </si>
  <si>
    <t>TRAFICO DE INFLUENCIAS</t>
  </si>
  <si>
    <t>COHECHO ACTIVO</t>
  </si>
  <si>
    <t>COHECHO ACTIVO CALIFICADO</t>
  </si>
  <si>
    <t>COHECHO ACTIVO CALIFICADO POR CALIDAD DE FUNCIONAR</t>
  </si>
  <si>
    <t>SOBORNO TRASNACIONAL</t>
  </si>
  <si>
    <t>PECULADO, (MALVERSACION AGRAVADA)</t>
  </si>
  <si>
    <t>PECULADO DE TRABAJOS O SERVICIOS</t>
  </si>
  <si>
    <t>PECULADO POR EXTENSION</t>
  </si>
  <si>
    <t>NEGOCIACIONES INCOMPATIBLES CON LA FUNCION PÚBLICA</t>
  </si>
  <si>
    <t>EXACCIONES ILEGALES</t>
  </si>
  <si>
    <t>EXACCIONES ILEGALES AGRAVADA POR EL MEDIO EMPLEADO</t>
  </si>
  <si>
    <t>ENRRIQUECIMIENTO ILICITO DE EMPLEADOS Y/O FUNCIONA</t>
  </si>
  <si>
    <t>PREVARICATO EN CONDENA CRIMINAL</t>
  </si>
  <si>
    <t>FALSO TESTIMONIO</t>
  </si>
  <si>
    <t>FALSO TESTIMONIO AGRAVADO POR SER EN CAUSA CRIMINA</t>
  </si>
  <si>
    <t>FALSO TESTIMONIO MEDIANTE COHECHO</t>
  </si>
  <si>
    <t>SOBORNO PARA FALSO TESTIMONIO</t>
  </si>
  <si>
    <t>ENCUBRIMIENTO CALIFICADO</t>
  </si>
  <si>
    <t>LAVADO DE ACTIVOS DE ORIGEN DELICTIVO</t>
  </si>
  <si>
    <t>RECEPTACION Y BLANQUEO DE DINERO ILICITO</t>
  </si>
  <si>
    <t>FAVORECIMIENTO DE LA EVASION</t>
  </si>
  <si>
    <t>FALSIFICACION DE MONEDA INTRODUCIRLA, EXPERDERLA O</t>
  </si>
  <si>
    <t>CERCENAMIENTO O ALTERACION DE MONEDA</t>
  </si>
  <si>
    <t>DOCUMENTOS EQUIPARADOS A LA MONEDA</t>
  </si>
  <si>
    <t>FALSIFICACION DE MONEDA EXTRANJERA</t>
  </si>
  <si>
    <t>EMISION CON TITULO O PESO INFERIORES AL LEGAL O EN</t>
  </si>
  <si>
    <t>FALSIFICACION DE INSTRUMENTO PUBLICO</t>
  </si>
  <si>
    <t>FALSIFICACION DE INSTRUMENTO PUBLICO AGRAVADO</t>
  </si>
  <si>
    <t>INSERCION DE DECLARACIONES FALSAS</t>
  </si>
  <si>
    <t>INSERCION DE DECLARACIONES FALSAS AGRAVADAS</t>
  </si>
  <si>
    <t>FALSEDAD DE CERTIFICADO MEDICO AGRAVADO</t>
  </si>
  <si>
    <t>USO DE DOCUMENTO O CERTIFICADO FALSO</t>
  </si>
  <si>
    <t>LIBRAMIENTO DE CHEQUE SIN FONDO</t>
  </si>
  <si>
    <t>ENTREGA DE CHEQUE SABIENDO DE SU NO PAGO</t>
  </si>
  <si>
    <t>CONTRAORDEN O FRUSTACION DE CHEQUE</t>
  </si>
  <si>
    <t>LIBRAR CHEQUE EN FORMULARIO AJENO</t>
  </si>
  <si>
    <t>LESIONES CULPOSAS</t>
  </si>
  <si>
    <t>USURPACIÓN</t>
  </si>
  <si>
    <t>HURTO SIMPLE</t>
  </si>
  <si>
    <t>ATENTADO Y RESISTENCIA A LA AUTORIDAD</t>
  </si>
  <si>
    <t>RESISTENCIA A LA AUTORIDAD</t>
  </si>
  <si>
    <t>AUTOLESIONES</t>
  </si>
  <si>
    <t>LEY 23.737 - INFRACCIÓNES LEY DE DROGAS</t>
  </si>
  <si>
    <t>LEY 11.430 - CÓDIGO DE TRÁNSITO</t>
  </si>
  <si>
    <t>LEY 8031/73 - PORTACIÓN NO AUTORIZADA DE ARMAS</t>
  </si>
  <si>
    <t>LEY 8031/73 - REPRESIÓN JUEGOS DE AZAR (CAP. X)</t>
  </si>
  <si>
    <t>INF ART. N°289 SUPRESIÓN DE NÚMERO DE VEHÍCULO</t>
  </si>
  <si>
    <t>SUICIDIO</t>
  </si>
  <si>
    <t>HURTO GANADO MENOR Y MAYOR</t>
  </si>
  <si>
    <t>AVERIGUACION DE CAUSALES DE MUERTE</t>
  </si>
  <si>
    <t>HURTO AUTOMOTOR</t>
  </si>
  <si>
    <t>ROBO AUTOMOTOR</t>
  </si>
  <si>
    <t>AVERIGUACIÓN DE ANTECEDENTES</t>
  </si>
  <si>
    <t>INFRACCION LEY 132081 (CLAUSURA DE TALLERES)</t>
  </si>
  <si>
    <t>HURTO CICLOMOTOR</t>
  </si>
  <si>
    <t>INF RACCION LEY 8031 ART 74</t>
  </si>
  <si>
    <t>AVERIGUACION DE IDENTIDAD</t>
  </si>
  <si>
    <t>SIN EFECTO SECUESTRO</t>
  </si>
  <si>
    <t>HALLAZGO AUTOMOTOR</t>
  </si>
  <si>
    <t>AMENAZAS</t>
  </si>
  <si>
    <t>ROBO AUTOMOTOR CALIFICADO</t>
  </si>
  <si>
    <t>ABUSO SEXUAL PRESUNTO</t>
  </si>
  <si>
    <t>INFR. ARTS 292 Y 296</t>
  </si>
  <si>
    <t>INFRACCIÓN ART 72/8031 (EBRIEDAD)</t>
  </si>
  <si>
    <t>AVERIGUACIÓN DE ILICITO</t>
  </si>
  <si>
    <t>ROBO GANADO MAYOR</t>
  </si>
  <si>
    <t>ROBO GANADO MENOR</t>
  </si>
  <si>
    <t>HURTO GANADO MAYOR</t>
  </si>
  <si>
    <t>HURTO GANADO MENOR</t>
  </si>
  <si>
    <t>APELLIDO/S</t>
  </si>
  <si>
    <t>NOMBRE/S</t>
  </si>
  <si>
    <t>TRANSGENERO</t>
  </si>
  <si>
    <t xml:space="preserve">               Ministerio de Seguridad</t>
  </si>
  <si>
    <t xml:space="preserve">               Dirección Centro de Operaciones Policiales</t>
  </si>
  <si>
    <t xml:space="preserve">               Sección Registro y Contralor de Consignas Especiales y Coordinación de Detenidos</t>
  </si>
  <si>
    <t>Instructivo para la carga de datos</t>
  </si>
  <si>
    <t xml:space="preserve">        El objetivo de este instructivo es explicar cada uno de los campos con la finalidad de</t>
  </si>
  <si>
    <t>lograr un único criterio de carga. A continuación se describe cada uno de los campos</t>
  </si>
  <si>
    <t>que contiene la planilla.</t>
  </si>
  <si>
    <t>Nombre del campo</t>
  </si>
  <si>
    <t>Descripción</t>
  </si>
  <si>
    <t>Jef. Deptal.</t>
  </si>
  <si>
    <t>Seleccione su Jefatura Departamental correspondiente, la cual se encuentra incorporada en la celda como lista desplegable.</t>
  </si>
  <si>
    <t>Seleccione su Dependencia correspondiente, la cual se encuentra incorporada en la celda como lista desplegable.</t>
  </si>
  <si>
    <t>Apellido/s</t>
  </si>
  <si>
    <t>Completos. Tal se indican en el documento de identidad y todo en letra mayúscula: Por Ej: “RODRIGUEZ PACHECO”</t>
  </si>
  <si>
    <t>Nombre/s</t>
  </si>
  <si>
    <t>Completos. Tal se indican en el documento de identidad y todo en letra mayúscula: Por Ej: “JUAN JOSE”</t>
  </si>
  <si>
    <t>Seleccione en la lista desplegable incorporada en la celda el tipo de genero de la persona.</t>
  </si>
  <si>
    <t>Tipo Doc.</t>
  </si>
  <si>
    <t>Seleccione en la lista desplegable incorporada en la celda el tipo de documento que posee la persona según corresponda. Si no posee documento ingresar "Indocumentado".</t>
  </si>
  <si>
    <t>Nro. Docum.</t>
  </si>
  <si>
    <t>Ingresar el número de documento de identidad correspondiente, en el caso de que halla seleccionado algún tipo en el campo anterior.</t>
  </si>
  <si>
    <t>Seleccionar la edad de la lista desplegable.</t>
  </si>
  <si>
    <t>Seleccionar de la lista desplegable la nacionalidad del aprehendido y/o detenido según corresponda.</t>
  </si>
  <si>
    <t>Carátula</t>
  </si>
  <si>
    <t>Ingresar la carátula según corresponda. Si existe más de una carátula seleccione la más grave.</t>
  </si>
  <si>
    <t>Nro. I.P.P.</t>
  </si>
  <si>
    <t>Ingresar el Numero de I.P.P. de la causa según corresponda.</t>
  </si>
  <si>
    <t>Especie</t>
  </si>
  <si>
    <t>Campo automático.</t>
  </si>
  <si>
    <t>Subespecie</t>
  </si>
  <si>
    <t>Juzgado Gtías.</t>
  </si>
  <si>
    <t>Ingresar los datos del Juzgado interviniente.</t>
  </si>
  <si>
    <t>Fiscalía</t>
  </si>
  <si>
    <t>Ingresar los datos de la Fiscalía interviniente.</t>
  </si>
  <si>
    <t>Depto. Judicial</t>
  </si>
  <si>
    <t>Seleccione Departamento Judicial correspondiente, de la lista desplegable incorporada en la celda.</t>
  </si>
  <si>
    <t>Observaciones</t>
  </si>
  <si>
    <t>Ingresar de manera breve toda información relevamente que complete los demás campos ingresados si fuese el caso.</t>
  </si>
  <si>
    <t>INDOCUMENTADO</t>
  </si>
  <si>
    <t>CARATULA</t>
  </si>
  <si>
    <t>DANESA</t>
  </si>
  <si>
    <t>ESCOCESA</t>
  </si>
  <si>
    <t>ESLOVACA</t>
  </si>
  <si>
    <t>ESLOVENA</t>
  </si>
  <si>
    <t>ESPAÑOLA</t>
  </si>
  <si>
    <t>ESTONIA</t>
  </si>
  <si>
    <t>FINLANDESA</t>
  </si>
  <si>
    <t>FRANCESA</t>
  </si>
  <si>
    <t>GRIEGA</t>
  </si>
  <si>
    <t>HOLANDESA</t>
  </si>
  <si>
    <t>HÚNGARA</t>
  </si>
  <si>
    <t>BRITÁNICA</t>
  </si>
  <si>
    <t>IRLANDESA</t>
  </si>
  <si>
    <t>ITALIANA</t>
  </si>
  <si>
    <t>LETONA</t>
  </si>
  <si>
    <t>LITUANA</t>
  </si>
  <si>
    <t>LUXEMBURGUESA</t>
  </si>
  <si>
    <t>MALTESA</t>
  </si>
  <si>
    <t>MOLDAVA</t>
  </si>
  <si>
    <t>MONEGASCA</t>
  </si>
  <si>
    <t>MONTENEGRINA</t>
  </si>
  <si>
    <t>NORUEGA</t>
  </si>
  <si>
    <t>POLACA</t>
  </si>
  <si>
    <t>PORTUGUESA</t>
  </si>
  <si>
    <t>RUMANA</t>
  </si>
  <si>
    <t>RUSA</t>
  </si>
  <si>
    <t>SERBIA</t>
  </si>
  <si>
    <t>SUECA</t>
  </si>
  <si>
    <t>SUIZA</t>
  </si>
  <si>
    <t>TURCA</t>
  </si>
  <si>
    <t>UCRANIANA</t>
  </si>
  <si>
    <t>ETÍOPE</t>
  </si>
  <si>
    <t>ECUATOGUINEANA</t>
  </si>
  <si>
    <t>EGIPCIA</t>
  </si>
  <si>
    <t>LIBERIANA</t>
  </si>
  <si>
    <t>LIBIA</t>
  </si>
  <si>
    <t>MARROQUÍ</t>
  </si>
  <si>
    <t>NAMIBIA</t>
  </si>
  <si>
    <t>NIGERIANA</t>
  </si>
  <si>
    <t>SAHARAUI</t>
  </si>
  <si>
    <t>SENEGALESA</t>
  </si>
  <si>
    <t>SUDAFRICANA</t>
  </si>
  <si>
    <t>TOGOLESA</t>
  </si>
  <si>
    <t>CANADIENSE</t>
  </si>
  <si>
    <t>ESTADOUNIDENSE</t>
  </si>
  <si>
    <t>MEXICANA</t>
  </si>
  <si>
    <t>BELICEÑA</t>
  </si>
  <si>
    <t>COSTARRICENSE</t>
  </si>
  <si>
    <t>GUATEMALTECA</t>
  </si>
  <si>
    <t>HONDUREÑA</t>
  </si>
  <si>
    <t>NICARAGÜENSE</t>
  </si>
  <si>
    <t>PANAMEÑA</t>
  </si>
  <si>
    <t>SALVADOREÑA</t>
  </si>
  <si>
    <t>SELECCIONE</t>
  </si>
  <si>
    <t>DIR.DEP.INV. AVELLANEDA-LANUS</t>
  </si>
  <si>
    <t>DIR.DEP.INV. MORENO - GRAL RODRIGUEZ</t>
  </si>
  <si>
    <t>SIN CARATULAR</t>
  </si>
  <si>
    <t>CRIA.BAHIA BLANCA 6TA</t>
  </si>
  <si>
    <t>DELEG.T.D.I.AVELLANEDA LANUS</t>
  </si>
  <si>
    <t>DIR. ANALISIS COMUNICACIONES (DAIC)</t>
  </si>
  <si>
    <t>DIR. DELITOS ECONOMICOS</t>
  </si>
  <si>
    <t>DIR. INV. CIBER CRIMEN</t>
  </si>
  <si>
    <t>DIR. INV. CRIMEN ORGANIZADO</t>
  </si>
  <si>
    <t>SUBDELEG.T.D.I.ADOLFO ALSINA</t>
  </si>
  <si>
    <t>SUBDELEG.T.D.I.PRESIDENTE PERON</t>
  </si>
  <si>
    <t>U.E.L.C.N.Y.C.O</t>
  </si>
  <si>
    <t>UNIDAD DE INV. ACTIVOS ILEGALES</t>
  </si>
  <si>
    <t>DELEG.T.D.I.MORENO - GRAL. RODRIGUEZ</t>
  </si>
  <si>
    <t>ABUSO SEXUAL AGRAVADO</t>
  </si>
  <si>
    <t>AMENAZAS CALIFICADAS</t>
  </si>
  <si>
    <t>AMENZAS AGRAVADAS</t>
  </si>
  <si>
    <t>APREHENDIDO</t>
  </si>
  <si>
    <t>CAPTURA</t>
  </si>
  <si>
    <t>COACCION</t>
  </si>
  <si>
    <t>COACCION AGRAVADA</t>
  </si>
  <si>
    <t>DAÑO</t>
  </si>
  <si>
    <t>DESOBEDIENCIA</t>
  </si>
  <si>
    <t>HOMICIDIO AGRAVADO</t>
  </si>
  <si>
    <t>LESIONES EN RIÑA</t>
  </si>
  <si>
    <t>LESIONES LEVES</t>
  </si>
  <si>
    <t>LESIONES RESIPROCAS</t>
  </si>
  <si>
    <t>ROBO AGRAVADO</t>
  </si>
  <si>
    <t>ROBO AGRAVADO EN POBLADO Y BANDA</t>
  </si>
  <si>
    <t>ROBO AGRAVADO POR EL USO DE ARMA BLANCA</t>
  </si>
  <si>
    <t>ROBO AGRAVADO POR ESCALAMIENTO</t>
  </si>
  <si>
    <t>TENENCIA DE ARMAS DE FUEGO</t>
  </si>
  <si>
    <t>TENENCIA DE ARMAS DE GUERRA</t>
  </si>
  <si>
    <t>TENENCIA DE ARMAS DE USO CIVIL</t>
  </si>
  <si>
    <t>VIOLACION DE DOMICILIO</t>
  </si>
  <si>
    <t>ALBANESA</t>
  </si>
  <si>
    <t>ALEMANA</t>
  </si>
  <si>
    <t>ANDORRANA</t>
  </si>
  <si>
    <t>ARMENIA</t>
  </si>
  <si>
    <t>ARUBANA</t>
  </si>
  <si>
    <t>AUSTRALIANA</t>
  </si>
  <si>
    <t>AUSTRÍACA</t>
  </si>
  <si>
    <t>BAHAMEÑA</t>
  </si>
  <si>
    <t>BARBADENSE</t>
  </si>
  <si>
    <t>BELGA</t>
  </si>
  <si>
    <t>BIELORRUSA</t>
  </si>
  <si>
    <t>BOSNIA</t>
  </si>
  <si>
    <t>BÚLGARA</t>
  </si>
  <si>
    <t>CHECA</t>
  </si>
  <si>
    <t>CHIPRIOTA</t>
  </si>
  <si>
    <t>CROATA</t>
  </si>
  <si>
    <t>CUBANA</t>
  </si>
  <si>
    <t>DOMINICANA</t>
  </si>
  <si>
    <t>DOMINIQUESA</t>
  </si>
  <si>
    <t>EUROPEA</t>
  </si>
  <si>
    <t>GUYANESA</t>
  </si>
  <si>
    <t>HAITIANA</t>
  </si>
  <si>
    <t>JAMAIQUINA</t>
  </si>
  <si>
    <t>NEOZELANDESA</t>
  </si>
  <si>
    <t>PUERTORRIQUEÑA</t>
  </si>
  <si>
    <t>SANCRISTOBALEÑA</t>
  </si>
  <si>
    <t>SANTALUCIANA</t>
  </si>
  <si>
    <t>SANVICENTINA</t>
  </si>
  <si>
    <t>SURINAMESA</t>
  </si>
  <si>
    <t>A R AUTORIDAD</t>
  </si>
  <si>
    <t>ASALTO</t>
  </si>
  <si>
    <t>JUEGO CLANDESTINO</t>
  </si>
  <si>
    <t>CRIA.EZEIZA 6TA</t>
  </si>
  <si>
    <t>SUB. CRIA. 25  DE MAYO</t>
  </si>
  <si>
    <t>TENTATIVA DE ROBO</t>
  </si>
  <si>
    <t>TENTATIVA DE HOMICIDIO</t>
  </si>
  <si>
    <t>TENTATIVA DE HURTO</t>
  </si>
  <si>
    <t>TENTATIVA DE ABUSO SEXUAL</t>
  </si>
  <si>
    <t>UTILIZACION CON FINES DE LUCRO DE INFORMACIONES</t>
  </si>
  <si>
    <t>PORTACIÓN DE ARMA DE FUEGO</t>
  </si>
  <si>
    <t>ABANDONO DE PERSONA (ART 106) AGRAVADO POR EL VINCULO</t>
  </si>
  <si>
    <t>ABUSO DE ARMA</t>
  </si>
  <si>
    <t>ABUSO DE ARMA CALIFICADO (ART 80)</t>
  </si>
  <si>
    <t>ABUSO SEXUAL CON ACCESO CARNAL O GRAVEMENTE ULTRAJANTE</t>
  </si>
  <si>
    <t>ATENTADO CONTRA TELEGRAFO O TELEFONO FERROVIARIO</t>
  </si>
  <si>
    <t>COHECHO PASIVO DE MAGISTRADO JUDICIAL O MINIST. PÚBLICO</t>
  </si>
  <si>
    <t>CORRUPCION DE MENORES AGRAVADA SU PROMOCIÓN O FACILITACIÓN</t>
  </si>
  <si>
    <t>CORRUPCION DE MENORES DE 13 AÑOS SU PROMOCIÓN O FACILITACIÓN</t>
  </si>
  <si>
    <t>EMISION DE FACTURAS DE CREDITOS FALSAS / OMISION</t>
  </si>
  <si>
    <t>FALSIFICACION DE SELLOS OFICIALES ESTAMPILLAS DE CORREO</t>
  </si>
  <si>
    <t>HOMICIDIO CALIFICADO POR EL VÍNCULO</t>
  </si>
  <si>
    <t>LESIONES AGRAVADAS</t>
  </si>
  <si>
    <t>LEY 8031/73 - CONTRA MORALIDAD PÚBLICA</t>
  </si>
  <si>
    <t>MATRIMONIO ILEGAL AUTORIZADO DOLOSAMENTE POR EL OFICIO</t>
  </si>
  <si>
    <t>MERCADERIAS PELIGROSAS PARA LA SALUD, VENTA ENTREGA</t>
  </si>
  <si>
    <t>PELIGRO DE GUERRA POR ACTOS HOSTILES AGRVADO</t>
  </si>
  <si>
    <t>PRIVACION ILEGAL DE LA LIBERTAD POR FUNCIONARIO PÚBLICO</t>
  </si>
  <si>
    <t>PUESTA EN PELIGRO DE NAVE CALIFICADO POR EL RESULTADO</t>
  </si>
  <si>
    <t>ROBO CALIFICADO POR HOMICIDIO (HOM. EN OCASIÓN DE ROBO)</t>
  </si>
  <si>
    <t>ROBO CALIFICADO(EN DESPOBLADO Y EN BANDA O USO DE ARMA)</t>
  </si>
  <si>
    <t>ROBO CALIFICADO(FRACTURA O PERFORACION PARED, VENTANA)</t>
  </si>
  <si>
    <t>SACAR UNA PERSONA FUERA DEL PAIS PARA SOMETERLA</t>
  </si>
  <si>
    <t>SUPRESIÓN DE ESTADO CIVIL FACILITAR, PROMOVER</t>
  </si>
  <si>
    <t>TENTATIVA DE ESTAFA</t>
  </si>
  <si>
    <t>TORTURA, OMISION DE DENUNCIARLA POR PARTE DE UN FUNCIONARIO</t>
  </si>
  <si>
    <t>APREMIOS</t>
  </si>
  <si>
    <t>TENTATIVA DE SECUESTRO</t>
  </si>
  <si>
    <t>DUELO -PADRINOS DE DUELO A MUERTE CON RESULTADO MUERTE-</t>
  </si>
  <si>
    <t>ENVENENAMIENTO O ADULTERACION DE AGUAS,ETC.. AGRA</t>
  </si>
  <si>
    <t>INFRACCION LEY 8031 ART 71</t>
  </si>
  <si>
    <t>REBELION, AMENAZA</t>
  </si>
  <si>
    <t>ROBO AGRAVADO POR EL USO DE ARMA DE FUEGO</t>
  </si>
  <si>
    <t>ROBO CALIFICADO (DESPOBLADO)</t>
  </si>
  <si>
    <t>ROBO CALIFICADO CON LESIONES DEL ART 90 O 91</t>
  </si>
  <si>
    <t>APREMIOS CALIFICADO</t>
  </si>
  <si>
    <t>ASOCIACION ILICITA PARA ATENTAR CONTRA EL ORDEN PÚBLICO</t>
  </si>
  <si>
    <t>ATENTADO CONTRA FERROCARRIL (CON DESCARRILAMIENTO)</t>
  </si>
  <si>
    <t>DAR INSTRUCIONES PARA FABRICAR BOMBAS O MATERIALES</t>
  </si>
  <si>
    <t>EXACCIONES ILEGALES AGRAVADA POR EL DESTINO</t>
  </si>
  <si>
    <t>LAVADO DE ACTIVOS DE ORIGEN DELICTIVO AGRAVADO</t>
  </si>
  <si>
    <t>LAVADO DE ACTIVOS DE ORIGEN DELICTIVO ATENUADO</t>
  </si>
  <si>
    <t>TENENCIA DE ARMAS DE FUEGO O BOMBAS O MATERIALES PELIGROSOS</t>
  </si>
  <si>
    <t>ULTRAJE O MENOSPRECIO A SIMBOLOS PATRIOS Y/O PROVINCIALES</t>
  </si>
  <si>
    <t>EST.POL.COM.TRES ARROYOS</t>
  </si>
  <si>
    <t>EST.DISTRITAL SALTO</t>
  </si>
  <si>
    <t>EST.POL.COM.GUAMINI</t>
  </si>
  <si>
    <t>EST.POL.COM.VILLARINO</t>
  </si>
  <si>
    <t>ABUSO SEXUAL</t>
  </si>
  <si>
    <t>ESTUPRO SEGUIDO DE MUERTE</t>
  </si>
  <si>
    <t>ABUSO SEXUAL SEGUIDO DE MUERTE</t>
  </si>
  <si>
    <t>DEFRAUDACION</t>
  </si>
  <si>
    <t>SUSTRACCIÓN DE MENOR</t>
  </si>
  <si>
    <t>PROSTITUCION A MAYORES DE 18 AÑOS, PROMOCIÓN O SU FACILITACIÓN</t>
  </si>
  <si>
    <t>PROSTITUCION DE MENORES AGRAVADA, PROMOCIÓN O SU FACILITACIÓN</t>
  </si>
  <si>
    <t>PROSTITUCION DE MENORES DE 13 AÑOS, PROMOCIÓN O SU FACILITACIÓN</t>
  </si>
  <si>
    <t>PROSTITUCION DE MENORES DE 18 AÑOS SU PROMOCIÓN O SU FACILITACIÓN</t>
  </si>
  <si>
    <t>ROBO CICLOMOTOR</t>
  </si>
  <si>
    <t>VIOLENCIA DE GENERO</t>
  </si>
  <si>
    <t>TRAFICO DE INFLUENCIAS AGRAVADO POR DIRIGIRSE A MASAS</t>
  </si>
  <si>
    <t>TRAFICO DE PERSONAS</t>
  </si>
  <si>
    <t>CHINA</t>
  </si>
  <si>
    <t>33-JEFATURA DEP.TRES DE FEBRERO</t>
  </si>
  <si>
    <t>_33_TRES_DE_FEBRERO</t>
  </si>
  <si>
    <t>TENTATIVA DE INCENDIO</t>
  </si>
  <si>
    <t>JD_33_TRES_DE_FEBRERO</t>
  </si>
  <si>
    <t>FEMICIDIO</t>
  </si>
  <si>
    <t>GROOMING</t>
  </si>
  <si>
    <t>SUPERINT_DE_POLITICAS_DE_GENERO</t>
  </si>
  <si>
    <t>ABUSO DE AUTORIDAD</t>
  </si>
  <si>
    <t xml:space="preserve">ALLANAMIENTO </t>
  </si>
  <si>
    <t>ALLAMAMIENTO Y SECUESTRO</t>
  </si>
  <si>
    <t>ABUSO SEXUAL GRAV. ULTRAJ. CON ACCESO CARNAL</t>
  </si>
  <si>
    <t>ABUSO SEXUAL SIN ACCESO CARNAL</t>
  </si>
  <si>
    <t>ABUSO SEXUAL GRAV. ULTRAJ. SIN ACCESO CARNAL</t>
  </si>
  <si>
    <t>ACOSO LABORAL</t>
  </si>
  <si>
    <t>AMENAZAS TELEFONICAS</t>
  </si>
  <si>
    <t>APREMIOS ILEGALES</t>
  </si>
  <si>
    <t>AVERIGUACION PARADERO</t>
  </si>
  <si>
    <t>AVERIGUACION DESAPACION MENOR</t>
  </si>
  <si>
    <t>CORRUPCION DE MENORES</t>
  </si>
  <si>
    <t>EXHIBICIONES OBSENAS</t>
  </si>
  <si>
    <t>FACILITACION Y PROMOCIÓN PROSTITUCION</t>
  </si>
  <si>
    <t>FUGA DE INSTITUTO</t>
  </si>
  <si>
    <t>INF. LEY 13298 (Derechos del Niño, Niñas y Adolescentes)</t>
  </si>
  <si>
    <t>INF. LEY 12569 (Violencia Familiar)</t>
  </si>
  <si>
    <t>INF.LEY 13944</t>
  </si>
  <si>
    <t>INF.LEY 24270</t>
  </si>
  <si>
    <t>INF. LEY 26485 (Ley de Genero)</t>
  </si>
  <si>
    <t>INF. ART. 131 (GROOMING)</t>
  </si>
  <si>
    <t xml:space="preserve">INF. LEY 26364 (MOD. 26842 TRATA DE PERSONA) </t>
  </si>
  <si>
    <t>INF LEY 26743 (IDENTIDAD DE GENRO)</t>
  </si>
  <si>
    <t>LESIONES Y AMENAZAS</t>
  </si>
  <si>
    <t>PRIV.ILEGAL DE LA LIBERTAD</t>
  </si>
  <si>
    <t>SU DENUNCIA</t>
  </si>
  <si>
    <t>CRIA.TRES DE FEBRERO 11RA</t>
  </si>
  <si>
    <t>CRIA.TRES DE FEBRERO 12DA</t>
  </si>
  <si>
    <t>SUPERINT_POLITICAS_GENERO</t>
  </si>
  <si>
    <t>CRIA.MUJER y FLIA. QUILMES</t>
  </si>
  <si>
    <t>CRIA.MUJER y FLIA. OF. AT. VICT. V. DE GENERO LA MATERA</t>
  </si>
  <si>
    <t>CRIA.MUJER y FLIA. BERAZATEGUI</t>
  </si>
  <si>
    <t>CRIA.MUJER y FLIA. FLORENCIO VARELA</t>
  </si>
  <si>
    <t>CRIA.MUJER y FLIA. DOLORES</t>
  </si>
  <si>
    <t>CRIA.MUJER y FLIA. TORDILLO</t>
  </si>
  <si>
    <t xml:space="preserve">CRIA.MUJER y FLIA. GRAL. LAVALLE </t>
  </si>
  <si>
    <t>OF. AT. VICT. V. DE GENERO LAS CHACRAS</t>
  </si>
  <si>
    <t>CRIA.MUJER y FLIA. LA COSTA</t>
  </si>
  <si>
    <t>OF. AT. VICT. V. DE GENERO SANTA TERESITA</t>
  </si>
  <si>
    <t xml:space="preserve">CRIA.MUJER y FLIA. PINAMAR </t>
  </si>
  <si>
    <t>CRIA.MUJER y FLIA. VILLA GESEL</t>
  </si>
  <si>
    <t>CRIA.MUJER y FLIA. GRAL. MADARIAGA</t>
  </si>
  <si>
    <t>CRIA.MUJER y FLIA. CASTELLI</t>
  </si>
  <si>
    <t>OF. AT. VICT. V. DE GENERO MAIPU</t>
  </si>
  <si>
    <t>CRIA.MUJER y FLIA. GRAL. GUIDO</t>
  </si>
  <si>
    <t>CRIA.MUJER y FLIA. AYACUCHO</t>
  </si>
  <si>
    <t>CRIA.MUJER y FLIA. PILA</t>
  </si>
  <si>
    <t>CRIA.MUJER y FLIA. GRAL. BELGRANO</t>
  </si>
  <si>
    <t>CRIA.MUJER y FLIA. CHASCOMUS</t>
  </si>
  <si>
    <t>CRIA.MUJER y FLIA. LEZAMA</t>
  </si>
  <si>
    <t>CRIA.MUJER y FLIA. LA PLATA</t>
  </si>
  <si>
    <t>OF. AT. VICT. V. DE GENERO AEROPUERTO</t>
  </si>
  <si>
    <t>OF. AT. VICT. V. DE GENERO LOS HORNOS</t>
  </si>
  <si>
    <t>OF. AT. VICT. V. DE GENERO CITY BELL</t>
  </si>
  <si>
    <t>CRIA.MUJER y FLIA. ENSENADA</t>
  </si>
  <si>
    <t>CRIA.MUJER y FLIA. BERISSO</t>
  </si>
  <si>
    <t>CRIA.MUJER y FLIA. PUNTA INDIO</t>
  </si>
  <si>
    <t>OF. AT. VICT. V. DE GENERO MADAGLENA</t>
  </si>
  <si>
    <t>CRIA.MUJER y FLIA. BRANDSEN</t>
  </si>
  <si>
    <t>CRIA.MUJER y FLIA. SAN VICENTE</t>
  </si>
  <si>
    <t>CRIA.MUJER y FLIA. PRESIDENTE PERON</t>
  </si>
  <si>
    <t>CRIA.MUJER y FLIA. CAÑUELAS</t>
  </si>
  <si>
    <t>CRIA.MUJER y FLIA. RANCHO</t>
  </si>
  <si>
    <t>CRIA.MUJER y FLIA. S. M. DEL MONTE</t>
  </si>
  <si>
    <t>CRIA.MUJER y FLIA. LOBOS</t>
  </si>
  <si>
    <t>CRIA.MUJER y FLIA. ROQUE PEREZ</t>
  </si>
  <si>
    <t>CRIA.MUJER y FLIA. SALADILLO</t>
  </si>
  <si>
    <t xml:space="preserve">CRIA.MUJER y FLIA. AVELLANEDA </t>
  </si>
  <si>
    <t>CRIA.MUJER y FLIA. LANUS</t>
  </si>
  <si>
    <t>CRIA.MUJER y FLIA. LOMAS DE ZAMORA</t>
  </si>
  <si>
    <t xml:space="preserve">OF. AT. VICT. V. DE GENERO INGENIERO BUDGE </t>
  </si>
  <si>
    <t>OF. AT. VICT. V. DE GENERO PARQUE BARON</t>
  </si>
  <si>
    <t>OF. AT. VICT. V. DE GENERO VILLA  FIORITO</t>
  </si>
  <si>
    <t xml:space="preserve">OF. AT. VICT. V. DE GENERO VILLA CENTENARIO </t>
  </si>
  <si>
    <t>CRIA.MUJER y FLIA. ALMIRANTE BROWN</t>
  </si>
  <si>
    <t>OF. AT. VICT. V. DE GENERO RAFAEL CALZADA</t>
  </si>
  <si>
    <t>OF. AT. VICT. V. DE GENERO GLEW</t>
  </si>
  <si>
    <t>CRIA.MUJER y FLIA. E. ECHEVERRIA</t>
  </si>
  <si>
    <t>CRIA.MUJER y FLIA. EZEIZA</t>
  </si>
  <si>
    <t>CRIA.MUJER y FLIA. LA UNIÓN</t>
  </si>
  <si>
    <t>CRIA.MUJER y FLIA. LAFERRERE</t>
  </si>
  <si>
    <t xml:space="preserve">CRIA.MUJER y FLIA. SAN JUSTO </t>
  </si>
  <si>
    <t>OF. AT. VICT. V. DE GENERO VILLA MADERO</t>
  </si>
  <si>
    <t>OF. AT. VICT. V. DE GENERO RAFAEL CASTILLO</t>
  </si>
  <si>
    <t>CRIA.MUJER y FLIA. VIRREY DEL PINO</t>
  </si>
  <si>
    <t>OF. AT. VICT. V. DE GENERO GONZALEZ CATAN</t>
  </si>
  <si>
    <t>CRIA.MUJER y FLIA. MORON</t>
  </si>
  <si>
    <t>CRIA.MUJER y FLIA. MERLO</t>
  </si>
  <si>
    <t>CRIA.MUJER y FLIA. ITUZAINGO</t>
  </si>
  <si>
    <t>CRIA.MUJER y FLIA. HURLINGHAM</t>
  </si>
  <si>
    <t>CRIA.MUJER y FLIA. MORENO</t>
  </si>
  <si>
    <t>CRIA.MUJER y FLIA. GRAL.RODRIGUEZ</t>
  </si>
  <si>
    <t>CRIA.MUJER y FLIA. SAN MARTÍN</t>
  </si>
  <si>
    <t>CRIA.MUJER y FLIA. TRES DE FEBRERO</t>
  </si>
  <si>
    <t>CRIA.MUJER y FLIA. SAN MIGUEL</t>
  </si>
  <si>
    <t>CRIA.MUJER y FLIA. MAL. ARGENTINAS</t>
  </si>
  <si>
    <t>CRIA.MUJER y FLIA. JOSE C. PAZ</t>
  </si>
  <si>
    <t>CRIA.MUJER y FLIA. SAN ISIDRO</t>
  </si>
  <si>
    <t xml:space="preserve">CRIA.MUJER y FLIA. PILAR </t>
  </si>
  <si>
    <t>CRIA.MUJER y FLIA. TIGRE</t>
  </si>
  <si>
    <t>CRIA.MUJER y FLIA. VICENTE LOPEZ</t>
  </si>
  <si>
    <t>OF. AT. VICT. V. DE GENERO SAN FERNANDO</t>
  </si>
  <si>
    <t>CRIA.MUJER y FLIA. BAHÍA BLANCA</t>
  </si>
  <si>
    <t>CRIA.MUJER y FLIA. CNEL. ROSALES</t>
  </si>
  <si>
    <t>OF. AT. VICT. V. DE GENERO PEHUEN-CO</t>
  </si>
  <si>
    <t>CRIA.MUJER y FLIA. MONTE HERMOSO</t>
  </si>
  <si>
    <t>CRIA.MUJER y FLIA. TRES ARROYOS</t>
  </si>
  <si>
    <t>OF. AT. VICT. V. DE GENERO CLAROMECO</t>
  </si>
  <si>
    <t>OF. AT. VICT. V. DE GENERO CORONEL DOREGO</t>
  </si>
  <si>
    <t>CRIA.MUJER y FLIA. G. CHAVEZ</t>
  </si>
  <si>
    <t>CRIA.MUJER y FLIA. CNEL. PRINGLES</t>
  </si>
  <si>
    <t>CRIA.MUJER y FLIA. CNEL. SUAREZ</t>
  </si>
  <si>
    <t>CRIA.MUJER y FLIA. HUANGHELEN</t>
  </si>
  <si>
    <t>CRIA.MUJER y FLIA. SAAVEDRA- PIGUE</t>
  </si>
  <si>
    <t>CRIA.MUJER y FLIA. TORQUINST</t>
  </si>
  <si>
    <t>OF. AT. VICT. V. DE GENERO SIERRA DE LA VENTANA</t>
  </si>
  <si>
    <t>CRIA.MUJER y FLIA. PUAN- DARRAGUEIRA</t>
  </si>
  <si>
    <t>CRIA.MUJER y FLIA. VILLARINO</t>
  </si>
  <si>
    <t>CRIA.MUJER y FLIA. C. PATAGONES</t>
  </si>
  <si>
    <t>OF. AT. VICT. V. DE GENERO VILLALONGA</t>
  </si>
  <si>
    <t>CRIA.MUJER y FLIA. NECOCHEA</t>
  </si>
  <si>
    <t>OF. AT. VICT. V. DE GENERO SAN CAYETANO</t>
  </si>
  <si>
    <t>CRIA.MUJER y FLIA. SAN MANUEL</t>
  </si>
  <si>
    <t>CRIA.MUJER y FLIA. LOBERIA</t>
  </si>
  <si>
    <t>CRIA.MUJER y FLIA. MAR DEL PLATA</t>
  </si>
  <si>
    <t xml:space="preserve">OF. AT. VICT. V. DE GENERO GRAL PUEYRREDON </t>
  </si>
  <si>
    <t>OF. AT. VICT. V. DE GENERO SIERRA DE LOS PADRES</t>
  </si>
  <si>
    <t xml:space="preserve">OF. AT. VICT. V. DE GENERO PLAYA SERENA </t>
  </si>
  <si>
    <t>CRIA.MUJER y FLIA. GRAL. ALVARADO</t>
  </si>
  <si>
    <t>OF. AT. VICT. V. DE GENERO GRAL. OTAMENDI</t>
  </si>
  <si>
    <t>CRIA.MUJER y FLIA. BALCARCE</t>
  </si>
  <si>
    <t>CRIA.MUJER y FLIA. CORONEL VIDAL</t>
  </si>
  <si>
    <t>CRIA.MUJER y FLIA. AZUL</t>
  </si>
  <si>
    <t>CRIA.MUJER y FLIA. LAS FLORES</t>
  </si>
  <si>
    <t>CRIA.MUJER y FLIA. RAUCH</t>
  </si>
  <si>
    <t>CRIA.MUJER y FLIA. TANDIL</t>
  </si>
  <si>
    <t>CRIA.MUJER y FLIA. BENITO JUAREZ</t>
  </si>
  <si>
    <t>OF. AT. VICT. V. DE GENERO VILLA CACIQUE</t>
  </si>
  <si>
    <t>CRIA.MUJER y FLIA. LAPRIDA</t>
  </si>
  <si>
    <t>CRIA.MUJER y FLIA. GRAL. LAMADRID</t>
  </si>
  <si>
    <t>CRIA.MUJER y FLIA. OLAVARRIA</t>
  </si>
  <si>
    <t>CRIA.MUJER y FLIA. BOLIVAR</t>
  </si>
  <si>
    <t>CRIA.MUJER y FLIA. TAPALQUE</t>
  </si>
  <si>
    <t>CRIA.MUJER y FLIA. GRAL. ALVEAR</t>
  </si>
  <si>
    <t>CRIA.MUJER y FLIA. MERCEDES</t>
  </si>
  <si>
    <t>CRIA.MUJER y FLIA. GRAL. LAS HERAS</t>
  </si>
  <si>
    <t>CRIA.MUJER y FLIA. MARCOS PAZ</t>
  </si>
  <si>
    <t>CRIA.MUJER y FLIA. 9 DE JULIO</t>
  </si>
  <si>
    <t>CRIA.MUJER y FLIA. BRAGADO</t>
  </si>
  <si>
    <t>CRIA.MUJER y FLIA. 25 DE MAYO</t>
  </si>
  <si>
    <t>OF. AT. VICT. V. DE GENERO NAVARRO</t>
  </si>
  <si>
    <t>CRIA.MUJER y FLIA. ALBERTI</t>
  </si>
  <si>
    <t>CRIA.MUJER y FLIA. CHIVILCOY</t>
  </si>
  <si>
    <t>CRIA.MUJER y FLIA. SUIPACHA</t>
  </si>
  <si>
    <t>CRIA.MUJER y FLIA. S. ANDRES DE GILES</t>
  </si>
  <si>
    <t>CRIA.MUJER y FLIA. LUJAN</t>
  </si>
  <si>
    <t>CRIA.MUJER y FLIA. CARMEN DE ARECO</t>
  </si>
  <si>
    <t>CRIA.MUJER y FLIA. SALTO</t>
  </si>
  <si>
    <t>OF. AT. VICT. V. DE GENERO N. DE LA RIESTA</t>
  </si>
  <si>
    <t>CRIA.MUJER y FLIA. SAN ANTONIO DE ARECO</t>
  </si>
  <si>
    <t>CRIA.MUJER y FLIA. ZARATE</t>
  </si>
  <si>
    <t>CRIA.MUJER y FLIA. CAMPANA</t>
  </si>
  <si>
    <t>OF. AT. VICT. V. DE GENERO EXALTACION DE LA CRUZ</t>
  </si>
  <si>
    <t xml:space="preserve">CRIA.MUJER y FLIA. ESCOBAR </t>
  </si>
  <si>
    <t>CRIA.MUJER y FLIA. T. LAUQUEN</t>
  </si>
  <si>
    <t>CRIA.MUJER y FLIA. PEHUAJO</t>
  </si>
  <si>
    <t>CRIA.MUJER y FLIA. CARLOS CASARES</t>
  </si>
  <si>
    <t>CRIA.MUJER y FLIA. DAIREAUX</t>
  </si>
  <si>
    <t>CRIA.MUJER y FLIA. GUAMINI</t>
  </si>
  <si>
    <t>CRIA.MUJER y FLIA. ADOLFO ALSINA</t>
  </si>
  <si>
    <t>CRIA.MUJER y FLIA. SALLIQUELO</t>
  </si>
  <si>
    <t>CRIA.MUJER y FLIA. TRES LOMAS</t>
  </si>
  <si>
    <t>CRIA.MUJER y FLIA. PELLEGRINI</t>
  </si>
  <si>
    <t>CRIA.MUJER y FLIA. RIVADAVIA</t>
  </si>
  <si>
    <t>CRIA.MUJER y FLIA. CARLOS TEJEDOR</t>
  </si>
  <si>
    <t>CRIA.MUJER y FLIA. GRAL. VILLEGAS</t>
  </si>
  <si>
    <t>OF. AT. VICT. V. DE GENERO 30 DE AGOSTO</t>
  </si>
  <si>
    <t>CRIA.MUJER y FLIA. HIPOLITO YRIGOYEN</t>
  </si>
  <si>
    <t>CRIA.MUJER y FLIA. JUNIN</t>
  </si>
  <si>
    <t>CRIA.MUJER y FLIA. LINCOLN</t>
  </si>
  <si>
    <t>CRIA.MUJER y FLIA. GRAL. VIAMONTE</t>
  </si>
  <si>
    <t>OF. AT. VICT. V. DE GENERO VEDIA</t>
  </si>
  <si>
    <t>OF. AT. VICT. V. DE GENERO GRAL PINTO</t>
  </si>
  <si>
    <t>CRIA.MUJER y FLIA. ROJAS</t>
  </si>
  <si>
    <t>CRIA.MUJER y FLIA. GRAL. ARENALES</t>
  </si>
  <si>
    <t>CRIA.MUJER y FLIA. F. AMEGHINO</t>
  </si>
  <si>
    <t>CRIA.MUJER y FLIA. CHACABUCO</t>
  </si>
  <si>
    <t>CRIA.MUJER y FLIA. PERGAMINO</t>
  </si>
  <si>
    <t>CRIA.MUJER y FLIA. COLON</t>
  </si>
  <si>
    <t xml:space="preserve">CRIA.MUJER y FLIA. SAN NICOLAS </t>
  </si>
  <si>
    <t>CRIA.MUJER y FLIA. RAMALLO</t>
  </si>
  <si>
    <t>CRIA.MUJER y FLIA. SAN PEDRO</t>
  </si>
  <si>
    <t>CRIA.MUJER y FLIA. BARADERO</t>
  </si>
  <si>
    <t>CRIA.MUJER y FLIA. CAP. SARMIENTO</t>
  </si>
  <si>
    <t>CRIA.MUJER y FLIA. ARRECIFES</t>
  </si>
  <si>
    <t>TENTATIVA DE USURPACIÓN</t>
  </si>
  <si>
    <t>TNTATIVA DE INCENDIO</t>
  </si>
  <si>
    <t>N°</t>
  </si>
  <si>
    <t>FECHA DE EXCARCELACION / MORIGERACION DE PENA</t>
  </si>
  <si>
    <t>FUE EXCARCELADO</t>
  </si>
  <si>
    <t>OBTUVO MEDIA MORIGERADORA</t>
  </si>
  <si>
    <t>Fecha de Excarcelacion / morigeracion de pena</t>
  </si>
  <si>
    <t>Fue Excarcelado</t>
  </si>
  <si>
    <t>Obtuvo Medida Morigeradora</t>
  </si>
  <si>
    <t xml:space="preserve">Indique fecha dia / mes /año (dd/mm/aaaa), que se dio cumplimiento a la medida de Exarcelación o Morigeradora de pena </t>
  </si>
  <si>
    <t>Seleccione menu desplegable, el cual se encuentra incorporada en la celda, "SI" en  caso que el detenido obtuviera una medida excarcelatoria, seleccione "NO" en caso que detenido no obtuviera medida excarcelatoria.</t>
  </si>
  <si>
    <t>Seleccione menu desplegable, el cual se encuentra incorporada en la celda, "SI" en  caso que el detenido obtuviera una mediada Morigeradora (Ejemplo, arresto domiciliaro), selecione "NO" en caso que detenido no obtuviera medida Morigeradora.</t>
  </si>
  <si>
    <t xml:space="preserve">DIAZ </t>
  </si>
  <si>
    <t>MARIA BELEN</t>
  </si>
  <si>
    <t>YOCU</t>
  </si>
  <si>
    <t>YANINA MARISOL</t>
  </si>
  <si>
    <t>36651975</t>
  </si>
  <si>
    <t>33364975</t>
  </si>
  <si>
    <t>LUBO</t>
  </si>
  <si>
    <t>CIELO MAILEN</t>
  </si>
  <si>
    <t>43261036</t>
  </si>
  <si>
    <t>2956/19</t>
  </si>
  <si>
    <t>UFI COLON</t>
  </si>
  <si>
    <t>CASCARDO</t>
  </si>
  <si>
    <t>GISELA MABEL</t>
  </si>
  <si>
    <t>34996015</t>
  </si>
  <si>
    <t>3155/20</t>
  </si>
  <si>
    <t>LOPEZ</t>
  </si>
  <si>
    <t>MIGLIORETTI</t>
  </si>
  <si>
    <t>NICOLAS MAXIMILIANO</t>
  </si>
  <si>
    <t>12-00-004798-20</t>
  </si>
  <si>
    <t>39981428</t>
  </si>
  <si>
    <t>LIBERTAD POR DISPOSICION DEL JUZG. GTIA. 3 PERG.</t>
  </si>
  <si>
    <t>VILLAR</t>
  </si>
  <si>
    <t>RAFAEL</t>
  </si>
  <si>
    <t>39663365</t>
  </si>
  <si>
    <t>12-00-004105-20</t>
  </si>
  <si>
    <t>AGÜERO</t>
  </si>
  <si>
    <t>LIBERTAD POR DISPOSICION DEL JUZG. GTIAS 3 PERG.</t>
  </si>
  <si>
    <t>MALDONADO</t>
  </si>
  <si>
    <t>BRIAN DAVID</t>
  </si>
  <si>
    <t>12-01-0004631-20</t>
  </si>
  <si>
    <t>NIEVA</t>
  </si>
  <si>
    <t>RAUL EZEQUIEL</t>
  </si>
  <si>
    <t>12-00-004927-20</t>
  </si>
  <si>
    <t>JUVENIL 2</t>
  </si>
  <si>
    <t>FUERO RESP. JUVENIL N° 1</t>
  </si>
  <si>
    <t>LIBERTAD POR DISPOSICION DEL JUZG. GTIAS 2 PERG.</t>
  </si>
  <si>
    <t>DORADO</t>
  </si>
  <si>
    <t>EMERSON DAMIAN</t>
  </si>
  <si>
    <t>12-00-005025-20</t>
  </si>
  <si>
    <t>2</t>
  </si>
  <si>
    <t>1</t>
  </si>
  <si>
    <t>BOCARDO</t>
  </si>
  <si>
    <t>NOELIA</t>
  </si>
  <si>
    <t>35085289</t>
  </si>
  <si>
    <t>12-00-005100-20</t>
  </si>
  <si>
    <t>ALDERETE</t>
  </si>
  <si>
    <t>JESUS BRIAN</t>
  </si>
  <si>
    <t>32295074</t>
  </si>
  <si>
    <t xml:space="preserve">OVIEDO </t>
  </si>
  <si>
    <t>ARRESTO DOMICILIARIO</t>
  </si>
  <si>
    <t>3</t>
  </si>
  <si>
    <t xml:space="preserve">OLIVERA </t>
  </si>
  <si>
    <t>IAN KEVIN</t>
  </si>
  <si>
    <t>12-00-005054-20</t>
  </si>
  <si>
    <t>MARTIARENA</t>
  </si>
  <si>
    <t>MAXIMILIANO LUIS</t>
  </si>
  <si>
    <t>33569681</t>
  </si>
  <si>
    <t>12-00-004901-20</t>
  </si>
  <si>
    <t>8</t>
  </si>
  <si>
    <t>MORA</t>
  </si>
  <si>
    <t>MARIANO MARTIN</t>
  </si>
  <si>
    <t>12-00-005180-20</t>
  </si>
  <si>
    <t>ROBERTO</t>
  </si>
  <si>
    <t>SERGIO</t>
  </si>
  <si>
    <t>12-01-005163-20</t>
  </si>
  <si>
    <t>ARIAS</t>
  </si>
  <si>
    <t>ALEJANDRO FABRICIO</t>
  </si>
  <si>
    <t>MARILE</t>
  </si>
  <si>
    <t>MAICOL JAVIER</t>
  </si>
  <si>
    <t>45519730</t>
  </si>
  <si>
    <t>FERREYRA</t>
  </si>
  <si>
    <t>RAMON DIEGO</t>
  </si>
  <si>
    <t>12-00-004527-20</t>
  </si>
  <si>
    <t>RETAMAL</t>
  </si>
  <si>
    <t>MARIO NICOLAS</t>
  </si>
  <si>
    <t>34410794</t>
  </si>
  <si>
    <t>12-00-005239-20</t>
  </si>
  <si>
    <t>POR DISPOSICION JUZG. GTIA. 2 PERGAMINO</t>
  </si>
  <si>
    <t>DELFANTE</t>
  </si>
  <si>
    <t>RICARDO</t>
  </si>
  <si>
    <t>12-00-005268-20</t>
  </si>
  <si>
    <t xml:space="preserve">GONZALEZ </t>
  </si>
  <si>
    <t xml:space="preserve">LUCAS RODRIGO </t>
  </si>
  <si>
    <t>RAFAEL JOSE ALBERTO</t>
  </si>
  <si>
    <t>12-00-005408-20</t>
  </si>
  <si>
    <t>12-00-005413-20</t>
  </si>
  <si>
    <t>ARRESTO DOMICILIARIO POR DISP. JUZG. GTIA. INTERVINIENTE.</t>
  </si>
  <si>
    <t>ORELLANA</t>
  </si>
  <si>
    <t>JESUS DANIEL</t>
  </si>
  <si>
    <t>35400847</t>
  </si>
  <si>
    <t>12-00-005531-20</t>
  </si>
  <si>
    <t>ALBORNOZ</t>
  </si>
  <si>
    <t>ATILIO PAULO</t>
  </si>
  <si>
    <t>12-00-005098-20</t>
  </si>
  <si>
    <t>FRANCO</t>
  </si>
  <si>
    <t>12-00-000577-20</t>
  </si>
  <si>
    <t>MAXIMILIANO ALEJANDRO</t>
  </si>
  <si>
    <t>12-00-005846-20</t>
  </si>
  <si>
    <t>5</t>
  </si>
  <si>
    <t xml:space="preserve">QUARTINO </t>
  </si>
  <si>
    <t>JUAN JOSE ALBERTO</t>
  </si>
  <si>
    <t>6</t>
  </si>
  <si>
    <t>CABALLE</t>
  </si>
  <si>
    <t>CARINA GABRIELA</t>
  </si>
  <si>
    <t>LIOTARD</t>
  </si>
  <si>
    <t>LUCAS MATIAS</t>
  </si>
  <si>
    <t>12-00-005855-20</t>
  </si>
  <si>
    <t>CAVILGIONI</t>
  </si>
  <si>
    <t>KEVIN</t>
  </si>
  <si>
    <t>RODRIGUEZ</t>
  </si>
  <si>
    <t>DIEGO MARTIN</t>
  </si>
  <si>
    <t>12-00-006027-20</t>
  </si>
  <si>
    <t>MORINIGO</t>
  </si>
  <si>
    <t>DANIEL</t>
  </si>
  <si>
    <t>CARLOS ALBERTO</t>
  </si>
  <si>
    <t>PONCE</t>
  </si>
  <si>
    <t>JUAN PABLO</t>
  </si>
  <si>
    <t>5140-5105</t>
  </si>
  <si>
    <t>KRUZLIK</t>
  </si>
  <si>
    <t>AVILES</t>
  </si>
  <si>
    <t>ALEJANDRO ROBERTO</t>
  </si>
  <si>
    <t xml:space="preserve">FEDERICO   </t>
  </si>
  <si>
    <t>34265650</t>
  </si>
  <si>
    <t>12-00-006359-20</t>
  </si>
  <si>
    <t>41145161</t>
  </si>
  <si>
    <t>12-00-004279-20</t>
  </si>
  <si>
    <t>ZARACHO</t>
  </si>
  <si>
    <t>ALEJANDRO</t>
  </si>
  <si>
    <t>39347092</t>
  </si>
  <si>
    <t>CANESSA</t>
  </si>
  <si>
    <t>NAHUEL IGNACIO NICOLAS</t>
  </si>
  <si>
    <t>4</t>
  </si>
  <si>
    <t>12-00-006557-20</t>
  </si>
  <si>
    <t>CUEVA</t>
  </si>
  <si>
    <t>ENZO</t>
  </si>
  <si>
    <t>LEONEL BERNABE</t>
  </si>
  <si>
    <t>12-01-006686-20</t>
  </si>
  <si>
    <t>12-00-006854-20</t>
  </si>
  <si>
    <t>YBAÑES</t>
  </si>
  <si>
    <t>BRAIAN ENRIQUE</t>
  </si>
  <si>
    <t>12-00-006836-20</t>
  </si>
  <si>
    <t>RUIZ</t>
  </si>
  <si>
    <t>JONATHAN BRANDON</t>
  </si>
  <si>
    <t>41767964</t>
  </si>
  <si>
    <t>12-00-005480-20</t>
  </si>
  <si>
    <t>AGUIAR</t>
  </si>
  <si>
    <t>RODRIGO NICOLAS</t>
  </si>
  <si>
    <t>12-00-007212-20</t>
  </si>
  <si>
    <t xml:space="preserve">GARCIA </t>
  </si>
  <si>
    <t>MARISOL</t>
  </si>
  <si>
    <t>43980563</t>
  </si>
  <si>
    <t>AMENAZAS Y LESIONES LEVES</t>
  </si>
  <si>
    <t>AMENAZAS LESIONES</t>
  </si>
  <si>
    <t>12-01-001579-20/00</t>
  </si>
  <si>
    <t>MAURO SEBASTIAN</t>
  </si>
  <si>
    <t>12-00-006517-20</t>
  </si>
  <si>
    <t>ZABALLA</t>
  </si>
  <si>
    <t>MARIA PIA</t>
  </si>
  <si>
    <t>0404-00-009624-20/00</t>
  </si>
  <si>
    <t>MOTA</t>
  </si>
  <si>
    <t>JOSE RAFAEL</t>
  </si>
  <si>
    <t>JUAN RAMON</t>
  </si>
  <si>
    <t>12-00-006753-20</t>
  </si>
  <si>
    <t>01</t>
  </si>
  <si>
    <t>JUVENIL 1</t>
  </si>
  <si>
    <t>12-00-006510-20</t>
  </si>
  <si>
    <t>CHADE</t>
  </si>
  <si>
    <t>FACUNDO JOEL</t>
  </si>
  <si>
    <t>12-00-007299-20</t>
  </si>
  <si>
    <t>QUINTANA</t>
  </si>
  <si>
    <t>MARIO EZEQUIEL</t>
  </si>
  <si>
    <t>12-00-007307-20</t>
  </si>
  <si>
    <t xml:space="preserve">RUSSIAN </t>
  </si>
  <si>
    <t>LEONARDO NICOLAS</t>
  </si>
  <si>
    <t xml:space="preserve">BERON </t>
  </si>
  <si>
    <t>EDUARDO MAXIMILIANO</t>
  </si>
  <si>
    <t>7302-20 y 7306-20</t>
  </si>
  <si>
    <t>MEJIA RODRIGUEZ</t>
  </si>
  <si>
    <t>VICTOR MANUEL</t>
  </si>
  <si>
    <t>12-00-007308-20</t>
  </si>
  <si>
    <t>40888289</t>
  </si>
  <si>
    <t>37481953</t>
  </si>
  <si>
    <t>43018644</t>
  </si>
  <si>
    <t>94487567</t>
  </si>
  <si>
    <t>BARRIOS ROLON</t>
  </si>
  <si>
    <t>RODNEY DAMIAN</t>
  </si>
  <si>
    <t>IVO GABRIEL</t>
  </si>
  <si>
    <t>KEVIN LUCIANO</t>
  </si>
  <si>
    <t>MIGUEL ANGEL</t>
  </si>
  <si>
    <t xml:space="preserve">ABRAHAM </t>
  </si>
  <si>
    <t xml:space="preserve">JUAN JOSE  </t>
  </si>
  <si>
    <t>20821430</t>
  </si>
  <si>
    <t>12-00-000186-21</t>
  </si>
  <si>
    <t xml:space="preserve">ORTEGA </t>
  </si>
  <si>
    <t>LEONEL</t>
  </si>
  <si>
    <t>12-00-000194-21</t>
  </si>
  <si>
    <t>SANCHEZ</t>
  </si>
  <si>
    <t>PAULA FRANCISCA</t>
  </si>
  <si>
    <t>12-00-000125-21/00</t>
  </si>
  <si>
    <t>ARRESTO NOCTURNO</t>
  </si>
  <si>
    <t>URIEL</t>
  </si>
  <si>
    <t>43454288</t>
  </si>
  <si>
    <t>12-00-000305-21</t>
  </si>
  <si>
    <t>CANO</t>
  </si>
  <si>
    <t>BRIAN</t>
  </si>
  <si>
    <t>43599787</t>
  </si>
  <si>
    <t>12-00-0087-21</t>
  </si>
  <si>
    <t>CORRO</t>
  </si>
  <si>
    <t>FRETES</t>
  </si>
  <si>
    <t>JOEL PABLO</t>
  </si>
  <si>
    <t>12-00-000270-21</t>
  </si>
  <si>
    <t xml:space="preserve">CRISTIAN </t>
  </si>
  <si>
    <t>25311896</t>
  </si>
  <si>
    <t>NO REC</t>
  </si>
  <si>
    <t>12-00-000427-21</t>
  </si>
  <si>
    <t>VALTA</t>
  </si>
  <si>
    <t>31741672</t>
  </si>
  <si>
    <t>JORGE LUIS</t>
  </si>
  <si>
    <t>12-00-000100-21</t>
  </si>
  <si>
    <t>MANSILLA</t>
  </si>
  <si>
    <t>FLAVIA MARIELA</t>
  </si>
  <si>
    <t>16-00-000308-21</t>
  </si>
  <si>
    <t>30485113</t>
  </si>
  <si>
    <t>ELIN YANET</t>
  </si>
  <si>
    <t>44166654</t>
  </si>
  <si>
    <t>U.F.I. Y J DEL JOVEN 2</t>
  </si>
  <si>
    <t>FERNANDEZ</t>
  </si>
  <si>
    <t>MARCOS GABRIEL</t>
  </si>
  <si>
    <t>WALTER</t>
  </si>
  <si>
    <t>TEVEZ</t>
  </si>
  <si>
    <t>KEVIN RICARDO</t>
  </si>
  <si>
    <t>12-00-000500-21</t>
  </si>
  <si>
    <t>259-21</t>
  </si>
  <si>
    <t>JOAQUIN ELISANDRO</t>
  </si>
  <si>
    <t>42788471</t>
  </si>
  <si>
    <t>43028334</t>
  </si>
  <si>
    <t>43800350</t>
  </si>
  <si>
    <t>38705724</t>
  </si>
  <si>
    <t>12-00-00030-21</t>
  </si>
  <si>
    <t>CELESTE SOLEDAD</t>
  </si>
  <si>
    <t>36945257</t>
  </si>
  <si>
    <t>12-00-00031-21</t>
  </si>
  <si>
    <t>LEAL</t>
  </si>
  <si>
    <t>RODRIGO MAXIMILIANO</t>
  </si>
  <si>
    <t>43038878</t>
  </si>
  <si>
    <t>12-00-007190-21</t>
  </si>
  <si>
    <t>CAUCION JURATORIA</t>
  </si>
  <si>
    <t>ESCALANTE</t>
  </si>
  <si>
    <t xml:space="preserve">MARCELO </t>
  </si>
  <si>
    <t>25678271</t>
  </si>
  <si>
    <t>12-00-00084-21</t>
  </si>
  <si>
    <t>GONZALEZ</t>
  </si>
  <si>
    <t xml:space="preserve">MONZON </t>
  </si>
  <si>
    <t>NAHUEL</t>
  </si>
  <si>
    <t>43803657</t>
  </si>
  <si>
    <t>35766550</t>
  </si>
  <si>
    <t>12-00-001125-21</t>
  </si>
  <si>
    <t>MARCELO SEBASTIAN</t>
  </si>
  <si>
    <t>31082413</t>
  </si>
  <si>
    <t>BRIAN NICOLAS</t>
  </si>
  <si>
    <t>41029025</t>
  </si>
  <si>
    <t xml:space="preserve">PINTOS </t>
  </si>
  <si>
    <t>EVELYN LUZ</t>
  </si>
  <si>
    <t>TORREGOSA</t>
  </si>
  <si>
    <t>RODRIGO MANUEL</t>
  </si>
  <si>
    <t>SIEMBRA Y/O CULTIVO , GUARDA DE SEMILLA CONT. ART 5 INC A LEY 23737</t>
  </si>
  <si>
    <t>0652-21</t>
  </si>
  <si>
    <t xml:space="preserve">1 DEL JOVEN </t>
  </si>
  <si>
    <t>UFI JUVENIL NRO 2</t>
  </si>
  <si>
    <t>35971988</t>
  </si>
  <si>
    <t>PEREYRA</t>
  </si>
  <si>
    <t>VALDEZ CLAUDIO OSCAR</t>
  </si>
  <si>
    <t>ROBO Y LESIONES</t>
  </si>
  <si>
    <t xml:space="preserve">CEJAS </t>
  </si>
  <si>
    <t xml:space="preserve">MARIANA MARIELA </t>
  </si>
  <si>
    <t>MARIAN</t>
  </si>
  <si>
    <t xml:space="preserve">BRIAN EMANUEL </t>
  </si>
  <si>
    <t xml:space="preserve">JUAREZ </t>
  </si>
  <si>
    <t>JUAN GABRIEL</t>
  </si>
  <si>
    <t>12-00-000914-21</t>
  </si>
  <si>
    <t>40888237</t>
  </si>
  <si>
    <t>38705714</t>
  </si>
  <si>
    <t xml:space="preserve">RAIES </t>
  </si>
  <si>
    <t xml:space="preserve">MARIA BELEN </t>
  </si>
  <si>
    <t>PEREÑA</t>
  </si>
  <si>
    <t xml:space="preserve">ULISES IVAN </t>
  </si>
  <si>
    <t>12-00-001375-21</t>
  </si>
  <si>
    <t>37931164</t>
  </si>
  <si>
    <t>32593979</t>
  </si>
  <si>
    <t>CABAÑA</t>
  </si>
  <si>
    <t>GUZMAN</t>
  </si>
  <si>
    <t>RICARDO ANIBAL</t>
  </si>
  <si>
    <t>DANIEL OSCAR</t>
  </si>
  <si>
    <t>30344121</t>
  </si>
  <si>
    <t xml:space="preserve">12-00-001411-21 </t>
  </si>
  <si>
    <t>12-00-001369-21</t>
  </si>
  <si>
    <t>CHOCOBAR</t>
  </si>
  <si>
    <t>ALICIA DEL VALLE</t>
  </si>
  <si>
    <t>24714345</t>
  </si>
  <si>
    <t>16-00-001227-21/00 Y 16-00-001267-21/00</t>
  </si>
  <si>
    <t>JUAN IGNACIO</t>
  </si>
  <si>
    <t xml:space="preserve">MARTINEZ </t>
  </si>
  <si>
    <t>ARIEL MAXIMILIANO</t>
  </si>
  <si>
    <t>ENRICO</t>
  </si>
  <si>
    <t>DANIEL MAURICIO</t>
  </si>
  <si>
    <t>BARBIERI</t>
  </si>
  <si>
    <t>TORRILLA</t>
  </si>
  <si>
    <t>JORGE JAVIER</t>
  </si>
  <si>
    <t>33462754</t>
  </si>
  <si>
    <t>ROBO AGRAV POR ESCALAMIENTO</t>
  </si>
  <si>
    <t>BLANCO</t>
  </si>
  <si>
    <t>BRENDA MARISOL</t>
  </si>
  <si>
    <t>12-00-001900-21</t>
  </si>
  <si>
    <t>BORIA</t>
  </si>
  <si>
    <t>FRANCO EZEQUIEL</t>
  </si>
  <si>
    <t>12-00-000836-21</t>
  </si>
  <si>
    <t>38060104</t>
  </si>
  <si>
    <t>47400546</t>
  </si>
  <si>
    <t>CORDOBA</t>
  </si>
  <si>
    <t>LUCIANO MARTIN</t>
  </si>
  <si>
    <t>34411463</t>
  </si>
  <si>
    <t>12-00-001929-21</t>
  </si>
  <si>
    <t>OSTOICH</t>
  </si>
  <si>
    <t>ELIAN NAHUEL</t>
  </si>
  <si>
    <t xml:space="preserve">BARDON </t>
  </si>
  <si>
    <t>ADRIAN LUCAS DARIO</t>
  </si>
  <si>
    <t>TENTATIVA DE ROBO AGRAVADO POR EFRACCION</t>
  </si>
  <si>
    <t>12-00-001792-21</t>
  </si>
  <si>
    <t xml:space="preserve">DEL JOVEN </t>
  </si>
  <si>
    <t xml:space="preserve">GOMEZ </t>
  </si>
  <si>
    <t>KAREN ELISABETH</t>
  </si>
  <si>
    <t>JULIAN</t>
  </si>
  <si>
    <t>12-00-001941-21</t>
  </si>
  <si>
    <t>MORELLO</t>
  </si>
  <si>
    <t xml:space="preserve">JUAN MARCELO </t>
  </si>
  <si>
    <t>ARIADNA</t>
  </si>
  <si>
    <t>FERRANDINI</t>
  </si>
  <si>
    <t>AGUSTINA MAILEN</t>
  </si>
  <si>
    <t>12-00-00170-21</t>
  </si>
  <si>
    <t>LOBO</t>
  </si>
  <si>
    <t>ENZO FRANCISCO</t>
  </si>
  <si>
    <t xml:space="preserve">MARIO ALEJANDRO </t>
  </si>
  <si>
    <t>25,933,867</t>
  </si>
  <si>
    <t>12-00-001276</t>
  </si>
  <si>
    <t xml:space="preserve">NAHUEL AGUSTIN </t>
  </si>
  <si>
    <t>41,952,049</t>
  </si>
  <si>
    <t>MARTIN EZEQUIEL</t>
  </si>
  <si>
    <t>2104/21</t>
  </si>
  <si>
    <t>LIBERTAR 161</t>
  </si>
  <si>
    <t>MARIA DEL LUJAN</t>
  </si>
  <si>
    <t>12-00-000467-21/00</t>
  </si>
  <si>
    <t>ARRESTO DOMICILIARIO EN CALLE SAUCEDO NRO. 152</t>
  </si>
  <si>
    <t>MUSTAFA</t>
  </si>
  <si>
    <t>RICARDO JOSE</t>
  </si>
  <si>
    <t>1330</t>
  </si>
  <si>
    <t>PEVIDORI</t>
  </si>
  <si>
    <t xml:space="preserve">ALDO </t>
  </si>
  <si>
    <t>36,869,081</t>
  </si>
  <si>
    <t>7193-20</t>
  </si>
  <si>
    <t>EMANUEL ADRIAN</t>
  </si>
  <si>
    <t>37,384,838</t>
  </si>
  <si>
    <t>HOMCIDIO EN GRADO DE TTVA</t>
  </si>
  <si>
    <t>1442</t>
  </si>
  <si>
    <t xml:space="preserve">GUIBELALDE </t>
  </si>
  <si>
    <t xml:space="preserve">MAXIMILIANO MIGUEL </t>
  </si>
  <si>
    <t>40,423,605</t>
  </si>
  <si>
    <t>ARGENTINO</t>
  </si>
  <si>
    <t>TTVA ROBO</t>
  </si>
  <si>
    <t>2025-21</t>
  </si>
  <si>
    <t>SOSA</t>
  </si>
  <si>
    <t>ORIANA ALONDRA</t>
  </si>
  <si>
    <t>ENCUBRIMIENTO AGRAVADO POR ANIMO DE LUCRO</t>
  </si>
  <si>
    <t>12-00-002064-21</t>
  </si>
  <si>
    <t xml:space="preserve">MOTA </t>
  </si>
  <si>
    <t xml:space="preserve">JUAN ROMAN </t>
  </si>
  <si>
    <t>47,400,491</t>
  </si>
  <si>
    <t>LESIONES - DESOBEDIENCIA</t>
  </si>
  <si>
    <t xml:space="preserve">PERSONAS </t>
  </si>
  <si>
    <t>2104</t>
  </si>
  <si>
    <t xml:space="preserve">PIZARRO </t>
  </si>
  <si>
    <t xml:space="preserve">OMAR RICARDO </t>
  </si>
  <si>
    <t xml:space="preserve">FERNANDEZ </t>
  </si>
  <si>
    <t xml:space="preserve">BRIAN NICOLAS </t>
  </si>
  <si>
    <t xml:space="preserve">GRADICHE </t>
  </si>
  <si>
    <t xml:space="preserve">MIGUEL ANGEL </t>
  </si>
  <si>
    <t>12-00-002347-21</t>
  </si>
  <si>
    <t>12-00-002340-21</t>
  </si>
  <si>
    <t>12-00-002351-21</t>
  </si>
  <si>
    <t>HERNANDEZ QUINTANILLA</t>
  </si>
  <si>
    <t>IGNACIO</t>
  </si>
  <si>
    <t>JESUS ALBERTO</t>
  </si>
  <si>
    <t>12-00-002374-21</t>
  </si>
  <si>
    <t xml:space="preserve">TRIBUNAL CRIMINAL 1 </t>
  </si>
  <si>
    <t xml:space="preserve">BRAVO </t>
  </si>
  <si>
    <t>LUQUEZ</t>
  </si>
  <si>
    <t xml:space="preserve">FRANCO </t>
  </si>
  <si>
    <t xml:space="preserve">ESTEBAN  </t>
  </si>
  <si>
    <t xml:space="preserve">AMENAZAS AGRAVADAS  </t>
  </si>
  <si>
    <t>INCENDIO Y RESISTENCIA A LA AUTORIDAD</t>
  </si>
  <si>
    <t xml:space="preserve">OTROS </t>
  </si>
  <si>
    <t>12-00-001637-21</t>
  </si>
  <si>
    <t>12-00-002431</t>
  </si>
  <si>
    <t>ESCUDERO</t>
  </si>
  <si>
    <t>DANIELA BEATRIZ</t>
  </si>
  <si>
    <t>12-00-02229-21</t>
  </si>
  <si>
    <t>GARANTIAS N° 3</t>
  </si>
  <si>
    <t>UFI Y J N° 4</t>
  </si>
  <si>
    <t>ARRESTO DOMICILIARIO POR DISPOSICION DEL JUZG. GTIAS. INTERVINIENTE</t>
  </si>
  <si>
    <t xml:space="preserve">ALZOGARAY </t>
  </si>
  <si>
    <t>12-00-007067-21</t>
  </si>
  <si>
    <t>HORACIO GASTON</t>
  </si>
  <si>
    <t>12-00-002911-21</t>
  </si>
  <si>
    <t>ALVAREZ</t>
  </si>
  <si>
    <t xml:space="preserve">LUIS GERMAN </t>
  </si>
  <si>
    <t>12-00-001716-21</t>
  </si>
  <si>
    <t>NICOLAU</t>
  </si>
  <si>
    <t>12-00-002961-21</t>
  </si>
  <si>
    <t>NICOLAS</t>
  </si>
  <si>
    <t xml:space="preserve">JOEL  </t>
  </si>
  <si>
    <t>12-00-002945-21</t>
  </si>
  <si>
    <t>MANDIUK</t>
  </si>
  <si>
    <t>GABRUEL</t>
  </si>
  <si>
    <t>12-00-000907-21</t>
  </si>
  <si>
    <t>12-00-003088-21</t>
  </si>
  <si>
    <t>SILVA</t>
  </si>
  <si>
    <t>ALEJO JAVIER</t>
  </si>
  <si>
    <t>45,176,255</t>
  </si>
  <si>
    <t>GARANTIASN° 2</t>
  </si>
  <si>
    <t>UFI Y J N°2</t>
  </si>
  <si>
    <t>12-00-003727-21</t>
  </si>
  <si>
    <t>CORREA</t>
  </si>
  <si>
    <t>ANTONELA MARISOL</t>
  </si>
  <si>
    <t>12-00-003776-21/00</t>
  </si>
  <si>
    <t>UFI Y J N °5</t>
  </si>
  <si>
    <t>GARANTIAS N° 2</t>
  </si>
  <si>
    <t>BOLDRINI</t>
  </si>
  <si>
    <t>TRIANA YANET</t>
  </si>
  <si>
    <t>12-00-003796-21/00</t>
  </si>
  <si>
    <t>UFI Y J N° 5</t>
  </si>
  <si>
    <t>35,085,423</t>
  </si>
  <si>
    <t>OLIVERO</t>
  </si>
  <si>
    <t>MARIA DE LOS ANGELES</t>
  </si>
  <si>
    <t>GARANTIS N° 1</t>
  </si>
  <si>
    <t>12-00-002148-21/00</t>
  </si>
  <si>
    <t>24,193,511</t>
  </si>
  <si>
    <t>ARRESTO DOMICILIARIO EN CALLE GALVES NRO 1558</t>
  </si>
  <si>
    <t>GOROSITO</t>
  </si>
  <si>
    <t>FACUNDO FAUSTO</t>
  </si>
  <si>
    <t>RESISTENCIA A LA AUTORIDAD - INF.LEY 23737 ART.14 SEGUNDO PARRAFO</t>
  </si>
  <si>
    <t>12-00-003965-21/00</t>
  </si>
  <si>
    <t>UFI Y J N° 7</t>
  </si>
  <si>
    <t xml:space="preserve">             23/6/2021</t>
  </si>
  <si>
    <t>ROBO- DAÑO- ABUSO DE ARMA</t>
  </si>
  <si>
    <t>12-00-003925-21/00</t>
  </si>
  <si>
    <t>JAIME</t>
  </si>
  <si>
    <t>MILAGROS</t>
  </si>
  <si>
    <t>CINTIA BEATRIZ</t>
  </si>
  <si>
    <t>12-00-005809-21/00</t>
  </si>
  <si>
    <t>UFI Y J N° 3</t>
  </si>
  <si>
    <t>TORILLA</t>
  </si>
  <si>
    <t>PABLO ANDRES</t>
  </si>
  <si>
    <t>VIOLACION DE DOMICILIO Y ENCUBRIMIENTO</t>
  </si>
  <si>
    <t>12-00-006383-21/00</t>
  </si>
  <si>
    <t>UFI Y  N°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</si>
</sst>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17">
    <font>
      <sz val="10"/>
      <name val="MS Sans Serif"/>
    </font>
    <font>
      <sz val="8"/>
      <name val="MS Sans Serif"/>
      <family val="2"/>
    </font>
    <font>
      <sz val="10"/>
      <name val="Arial"/>
      <family val="2"/>
    </font>
    <font>
      <b/>
      <sz val="10"/>
      <name val="Arial"/>
      <family val="2"/>
    </font>
    <font>
      <sz val="9"/>
      <name val="Arial"/>
      <family val="2"/>
    </font>
    <font>
      <sz val="8"/>
      <name val="Arial"/>
      <family val="2"/>
    </font>
    <font>
      <b/>
      <sz val="11"/>
      <color theme="1"/>
      <name val="Calibri"/>
      <family val="2"/>
      <scheme val="minor"/>
    </font>
    <font>
      <b/>
      <i/>
      <sz val="10"/>
      <color theme="3"/>
      <name val="Arial"/>
      <family val="2"/>
    </font>
    <font>
      <b/>
      <sz val="22"/>
      <color theme="3"/>
      <name val="Arial Rounded MT Bold"/>
      <family val="2"/>
    </font>
    <font>
      <sz val="10"/>
      <name val="Arial Rounded MT Bold"/>
      <family val="2"/>
    </font>
    <font>
      <sz val="10"/>
      <name val="MS Sans Serif"/>
      <family val="2"/>
    </font>
    <font>
      <b/>
      <sz val="10"/>
      <name val="MS Sans Serif"/>
      <family val="2"/>
    </font>
    <font>
      <b/>
      <sz val="8"/>
      <name val="Arial"/>
      <family val="2"/>
    </font>
    <font>
      <sz val="10"/>
      <color rgb="FF000000"/>
      <name val="Arial"/>
      <family val="2"/>
    </font>
    <font>
      <sz val="9"/>
      <color theme="1"/>
      <name val="Arial"/>
      <family val="2"/>
    </font>
    <font>
      <sz val="10"/>
      <name val="Calibri"/>
      <family val="2"/>
      <scheme val="minor"/>
    </font>
    <font>
      <sz val="11"/>
      <name val="Calibri"/>
      <family val="2"/>
    </font>
  </fonts>
  <fills count="16">
    <fill>
      <patternFill patternType="none"/>
    </fill>
    <fill>
      <patternFill patternType="gray125"/>
    </fill>
    <fill>
      <patternFill patternType="solid">
        <fgColor indexed="51"/>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6"/>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31">
    <xf numFmtId="0" fontId="0" fillId="0" borderId="0" xfId="0"/>
    <xf numFmtId="0" fontId="2" fillId="0" borderId="0" xfId="0" applyFont="1"/>
    <xf numFmtId="0" fontId="3" fillId="0" borderId="0" xfId="0" applyFont="1"/>
    <xf numFmtId="0" fontId="2" fillId="2" borderId="0" xfId="0" applyFont="1" applyFill="1"/>
    <xf numFmtId="0" fontId="5" fillId="0" borderId="0" xfId="0" applyFont="1"/>
    <xf numFmtId="0" fontId="5" fillId="0" borderId="0" xfId="0" applyFont="1" applyBorder="1"/>
    <xf numFmtId="0" fontId="2" fillId="0" borderId="0" xfId="0" applyFont="1" applyBorder="1"/>
    <xf numFmtId="0" fontId="5" fillId="2" borderId="0" xfId="0" applyFont="1" applyFill="1"/>
    <xf numFmtId="0" fontId="5" fillId="0" borderId="0" xfId="0" applyFont="1" applyFill="1"/>
    <xf numFmtId="0" fontId="5" fillId="2" borderId="0" xfId="0" applyFont="1" applyFill="1" applyAlignment="1">
      <alignment horizontal="left"/>
    </xf>
    <xf numFmtId="0" fontId="5" fillId="2" borderId="0" xfId="0" applyFont="1" applyFill="1" applyBorder="1"/>
    <xf numFmtId="0" fontId="4" fillId="2" borderId="0" xfId="0" applyNumberFormat="1" applyFont="1" applyFill="1" applyBorder="1"/>
    <xf numFmtId="0" fontId="5" fillId="3" borderId="0" xfId="0" applyFont="1" applyFill="1" applyBorder="1"/>
    <xf numFmtId="0" fontId="5" fillId="5" borderId="0" xfId="0" applyFont="1" applyFill="1" applyBorder="1"/>
    <xf numFmtId="0" fontId="5" fillId="6" borderId="0" xfId="0" applyFont="1" applyFill="1" applyBorder="1"/>
    <xf numFmtId="0" fontId="5" fillId="7" borderId="0" xfId="0" applyFont="1" applyFill="1" applyBorder="1"/>
    <xf numFmtId="0" fontId="5" fillId="8" borderId="0" xfId="0" applyFont="1" applyFill="1" applyBorder="1"/>
    <xf numFmtId="0" fontId="5" fillId="9" borderId="0" xfId="0" applyFont="1" applyFill="1" applyBorder="1"/>
    <xf numFmtId="0" fontId="5" fillId="4" borderId="0" xfId="0" applyFont="1" applyFill="1" applyBorder="1"/>
    <xf numFmtId="0" fontId="5" fillId="10" borderId="0" xfId="0" applyFont="1" applyFill="1" applyBorder="1"/>
    <xf numFmtId="0" fontId="0" fillId="0" borderId="5" xfId="0" applyBorder="1"/>
    <xf numFmtId="0" fontId="2" fillId="3" borderId="0" xfId="0" applyFont="1" applyFill="1"/>
    <xf numFmtId="0" fontId="2" fillId="0" borderId="1" xfId="0" applyFont="1" applyBorder="1" applyAlignment="1" applyProtection="1">
      <alignment horizontal="left" vertical="center"/>
      <protection locked="0"/>
    </xf>
    <xf numFmtId="0" fontId="2" fillId="13" borderId="1" xfId="0" applyFont="1" applyFill="1" applyBorder="1" applyAlignment="1" applyProtection="1">
      <alignment horizontal="left" vertical="center"/>
      <protection locked="0"/>
    </xf>
    <xf numFmtId="0" fontId="2" fillId="0" borderId="1" xfId="0" applyFont="1" applyFill="1" applyBorder="1" applyAlignment="1" applyProtection="1">
      <alignment horizontal="left" vertical="center"/>
      <protection locked="0"/>
    </xf>
    <xf numFmtId="0" fontId="7" fillId="0" borderId="0" xfId="0" applyFont="1" applyProtection="1"/>
    <xf numFmtId="0" fontId="8" fillId="0" borderId="0" xfId="0" applyFont="1" applyProtection="1"/>
    <xf numFmtId="0" fontId="9" fillId="0" borderId="0" xfId="0" applyFont="1"/>
    <xf numFmtId="0" fontId="9" fillId="15" borderId="3" xfId="0" applyFont="1" applyFill="1" applyBorder="1"/>
    <xf numFmtId="0" fontId="2" fillId="0" borderId="4" xfId="0" applyFont="1" applyBorder="1" applyAlignment="1">
      <alignment vertical="center" wrapText="1"/>
    </xf>
    <xf numFmtId="0" fontId="2" fillId="0" borderId="4" xfId="0" applyFont="1" applyBorder="1" applyAlignment="1">
      <alignment wrapText="1"/>
    </xf>
    <xf numFmtId="0" fontId="2" fillId="0" borderId="5" xfId="0" applyFont="1" applyBorder="1" applyAlignment="1">
      <alignment vertical="center" wrapText="1"/>
    </xf>
    <xf numFmtId="0" fontId="2" fillId="0" borderId="5" xfId="0" applyFont="1" applyBorder="1" applyAlignment="1">
      <alignment wrapText="1"/>
    </xf>
    <xf numFmtId="0" fontId="2" fillId="0" borderId="6" xfId="0" applyFont="1" applyBorder="1" applyAlignment="1">
      <alignment vertical="center" wrapText="1"/>
    </xf>
    <xf numFmtId="0" fontId="2" fillId="0" borderId="6" xfId="0" applyFont="1" applyBorder="1" applyAlignment="1">
      <alignment wrapText="1"/>
    </xf>
    <xf numFmtId="0" fontId="9" fillId="0" borderId="0" xfId="0" applyFont="1" applyFill="1" applyBorder="1" applyAlignment="1">
      <alignment vertical="center" wrapText="1"/>
    </xf>
    <xf numFmtId="0" fontId="10" fillId="0" borderId="0" xfId="0" applyFont="1"/>
    <xf numFmtId="0" fontId="3" fillId="14" borderId="1" xfId="0" applyFont="1" applyFill="1" applyBorder="1" applyAlignment="1" applyProtection="1">
      <alignment horizontal="center" vertical="center"/>
    </xf>
    <xf numFmtId="0" fontId="2" fillId="0" borderId="0" xfId="0" applyFont="1" applyProtection="1"/>
    <xf numFmtId="0" fontId="5" fillId="0" borderId="0" xfId="0" applyFont="1" applyBorder="1" applyAlignment="1" applyProtection="1">
      <alignment horizontal="center"/>
    </xf>
    <xf numFmtId="0" fontId="2" fillId="0" borderId="0" xfId="0" applyFont="1" applyBorder="1" applyProtection="1"/>
    <xf numFmtId="0" fontId="2" fillId="0" borderId="0" xfId="0" applyFont="1" applyBorder="1" applyAlignment="1" applyProtection="1">
      <alignment horizontal="center"/>
    </xf>
    <xf numFmtId="0" fontId="2" fillId="0" borderId="0" xfId="0" applyFont="1" applyBorder="1" applyAlignment="1" applyProtection="1">
      <alignment horizontal="left"/>
    </xf>
    <xf numFmtId="0" fontId="2" fillId="0" borderId="0" xfId="0" applyFont="1" applyFill="1" applyBorder="1" applyProtection="1"/>
    <xf numFmtId="0" fontId="2" fillId="0" borderId="2" xfId="0" applyFont="1" applyBorder="1" applyAlignment="1" applyProtection="1">
      <alignment horizontal="left"/>
    </xf>
    <xf numFmtId="49" fontId="2" fillId="0" borderId="1" xfId="0" applyNumberFormat="1" applyFont="1" applyBorder="1" applyAlignment="1" applyProtection="1">
      <alignment horizontal="left" vertical="center"/>
      <protection locked="0"/>
    </xf>
    <xf numFmtId="0" fontId="2" fillId="11" borderId="1" xfId="0" applyFont="1" applyFill="1" applyBorder="1" applyAlignment="1" applyProtection="1">
      <alignment horizontal="left" vertical="center"/>
      <protection locked="0"/>
    </xf>
    <xf numFmtId="0" fontId="2" fillId="0" borderId="0" xfId="0" applyFont="1" applyAlignment="1">
      <alignment horizontal="center"/>
    </xf>
    <xf numFmtId="0" fontId="11" fillId="0" borderId="5" xfId="0" applyFont="1" applyBorder="1" applyAlignment="1">
      <alignment horizontal="center"/>
    </xf>
    <xf numFmtId="0" fontId="5" fillId="0" borderId="1" xfId="0" applyFont="1" applyBorder="1" applyAlignment="1" applyProtection="1">
      <alignment horizontal="center" vertical="center"/>
      <protection locked="0"/>
    </xf>
    <xf numFmtId="1" fontId="2" fillId="0" borderId="1" xfId="0" applyNumberFormat="1" applyFont="1" applyBorder="1" applyAlignment="1" applyProtection="1">
      <alignment horizontal="center" vertical="center"/>
      <protection locked="0"/>
    </xf>
    <xf numFmtId="0" fontId="6" fillId="12" borderId="7" xfId="0" applyFont="1" applyFill="1" applyBorder="1" applyAlignment="1">
      <alignment horizontal="center"/>
    </xf>
    <xf numFmtId="0" fontId="0" fillId="0" borderId="8" xfId="0" applyBorder="1"/>
    <xf numFmtId="0" fontId="0" fillId="0" borderId="6" xfId="0" applyBorder="1"/>
    <xf numFmtId="0" fontId="0" fillId="0" borderId="9" xfId="0" applyBorder="1"/>
    <xf numFmtId="0" fontId="0" fillId="0" borderId="10" xfId="0" applyBorder="1"/>
    <xf numFmtId="0" fontId="0" fillId="0" borderId="11" xfId="0" applyBorder="1"/>
    <xf numFmtId="0" fontId="6" fillId="12" borderId="12" xfId="0" applyFont="1" applyFill="1" applyBorder="1" applyAlignment="1">
      <alignment horizontal="center"/>
    </xf>
    <xf numFmtId="0" fontId="3" fillId="0" borderId="1" xfId="0" applyFont="1" applyBorder="1" applyAlignment="1" applyProtection="1">
      <alignment horizontal="center" vertical="center"/>
      <protection locked="0"/>
    </xf>
    <xf numFmtId="0" fontId="3" fillId="14" borderId="1" xfId="0" applyFont="1" applyFill="1" applyBorder="1" applyAlignment="1" applyProtection="1">
      <alignment horizontal="center" vertical="center" wrapText="1"/>
    </xf>
    <xf numFmtId="164" fontId="3" fillId="14" borderId="1" xfId="0" applyNumberFormat="1" applyFont="1" applyFill="1" applyBorder="1" applyAlignment="1" applyProtection="1">
      <alignment horizontal="center" vertical="center" wrapText="1"/>
    </xf>
    <xf numFmtId="164" fontId="3" fillId="0" borderId="1" xfId="0" applyNumberFormat="1" applyFont="1" applyBorder="1" applyAlignment="1" applyProtection="1">
      <alignment horizontal="center" vertical="center"/>
      <protection locked="0"/>
    </xf>
    <xf numFmtId="164" fontId="2" fillId="0" borderId="0" xfId="0" applyNumberFormat="1" applyFont="1" applyBorder="1" applyProtection="1"/>
    <xf numFmtId="164" fontId="2" fillId="0" borderId="0" xfId="0" applyNumberFormat="1" applyFont="1" applyFill="1" applyBorder="1" applyProtection="1"/>
    <xf numFmtId="0" fontId="12" fillId="0" borderId="1" xfId="0" applyFont="1" applyBorder="1" applyAlignment="1" applyProtection="1">
      <alignment horizontal="left" vertical="center"/>
      <protection locked="0"/>
    </xf>
    <xf numFmtId="0" fontId="2"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0" fontId="2" fillId="13" borderId="1" xfId="0" applyFont="1" applyFill="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horizontal="center" vertical="center"/>
    </xf>
    <xf numFmtId="1" fontId="2" fillId="0" borderId="13" xfId="0" applyNumberFormat="1" applyFont="1" applyBorder="1" applyAlignment="1">
      <alignment horizontal="center" vertical="center"/>
    </xf>
    <xf numFmtId="0" fontId="13" fillId="0" borderId="0" xfId="0" applyFont="1" applyAlignment="1">
      <alignment horizontal="left"/>
    </xf>
    <xf numFmtId="0" fontId="2" fillId="0" borderId="0" xfId="0" applyFont="1" applyAlignment="1" applyProtection="1">
      <alignment horizontal="center"/>
    </xf>
    <xf numFmtId="0" fontId="2" fillId="0" borderId="1" xfId="0" applyNumberFormat="1" applyFont="1" applyFill="1" applyBorder="1" applyAlignment="1">
      <alignment horizontal="center" vertical="center"/>
    </xf>
    <xf numFmtId="49" fontId="2" fillId="0" borderId="1" xfId="0" applyNumberFormat="1" applyFont="1" applyFill="1" applyBorder="1" applyAlignment="1">
      <alignment horizontal="left" vertical="center"/>
    </xf>
    <xf numFmtId="0" fontId="2" fillId="0" borderId="1" xfId="0" applyFont="1" applyFill="1" applyBorder="1" applyAlignment="1">
      <alignment horizontal="center" vertical="center"/>
    </xf>
    <xf numFmtId="49" fontId="2" fillId="13" borderId="1" xfId="0" applyNumberFormat="1" applyFont="1" applyFill="1" applyBorder="1" applyAlignment="1">
      <alignment horizontal="left" vertical="center"/>
    </xf>
    <xf numFmtId="0" fontId="2" fillId="13" borderId="1" xfId="0" applyFont="1" applyFill="1" applyBorder="1" applyAlignment="1">
      <alignment horizontal="center" vertical="center"/>
    </xf>
    <xf numFmtId="49" fontId="2" fillId="13" borderId="1" xfId="0" applyNumberFormat="1" applyFont="1" applyFill="1" applyBorder="1" applyAlignment="1">
      <alignment horizontal="center" vertical="center"/>
    </xf>
    <xf numFmtId="49" fontId="2" fillId="0" borderId="1" xfId="0" applyNumberFormat="1" applyFont="1" applyFill="1" applyBorder="1" applyAlignment="1">
      <alignment horizontal="center" vertical="center"/>
    </xf>
    <xf numFmtId="49" fontId="4" fillId="13" borderId="1" xfId="0" applyNumberFormat="1" applyFont="1" applyFill="1" applyBorder="1" applyAlignment="1">
      <alignment horizontal="left" vertical="center"/>
    </xf>
    <xf numFmtId="0" fontId="4" fillId="0" borderId="1" xfId="0" applyFont="1" applyFill="1" applyBorder="1" applyAlignment="1">
      <alignment horizontal="center" vertical="center"/>
    </xf>
    <xf numFmtId="49" fontId="4" fillId="0" borderId="1" xfId="0" applyNumberFormat="1" applyFont="1" applyFill="1" applyBorder="1" applyAlignment="1">
      <alignment horizontal="left" vertical="center"/>
    </xf>
    <xf numFmtId="0" fontId="4" fillId="13" borderId="1" xfId="0" applyFont="1" applyFill="1" applyBorder="1" applyAlignment="1">
      <alignment horizontal="center" vertical="center"/>
    </xf>
    <xf numFmtId="0" fontId="4" fillId="13" borderId="1" xfId="0" applyFont="1" applyFill="1" applyBorder="1" applyAlignment="1">
      <alignment horizontal="left" vertical="center"/>
    </xf>
    <xf numFmtId="0" fontId="14" fillId="13" borderId="1" xfId="0" applyFont="1" applyFill="1" applyBorder="1" applyAlignment="1">
      <alignment horizontal="left" vertical="center"/>
    </xf>
    <xf numFmtId="49" fontId="4" fillId="13"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left" vertical="center"/>
    </xf>
    <xf numFmtId="0" fontId="4" fillId="0" borderId="1" xfId="0" applyNumberFormat="1" applyFont="1" applyFill="1" applyBorder="1" applyAlignment="1">
      <alignment horizontal="center" vertical="center"/>
    </xf>
    <xf numFmtId="0" fontId="4" fillId="0" borderId="1" xfId="0" applyFont="1" applyFill="1" applyBorder="1" applyAlignment="1" applyProtection="1">
      <alignment horizontal="left" vertical="center"/>
    </xf>
    <xf numFmtId="0" fontId="4" fillId="13" borderId="1" xfId="0" applyNumberFormat="1" applyFont="1" applyFill="1" applyBorder="1" applyAlignment="1">
      <alignment horizontal="center" vertical="center"/>
    </xf>
    <xf numFmtId="0" fontId="2" fillId="0" borderId="1" xfId="0" applyFont="1" applyFill="1" applyBorder="1" applyAlignment="1">
      <alignment horizontal="left" vertical="center"/>
    </xf>
    <xf numFmtId="49" fontId="4" fillId="13" borderId="14" xfId="0" applyNumberFormat="1" applyFont="1" applyFill="1" applyBorder="1" applyAlignment="1">
      <alignment horizontal="left" vertical="center"/>
    </xf>
    <xf numFmtId="49" fontId="15" fillId="13" borderId="1" xfId="0" applyNumberFormat="1" applyFont="1" applyFill="1" applyBorder="1" applyAlignment="1">
      <alignment horizontal="left" vertical="center"/>
    </xf>
    <xf numFmtId="0" fontId="2" fillId="0" borderId="1" xfId="0" applyNumberFormat="1" applyFont="1" applyBorder="1" applyAlignment="1" applyProtection="1">
      <alignment horizontal="center" vertical="center"/>
      <protection locked="0"/>
    </xf>
    <xf numFmtId="0" fontId="3" fillId="14" borderId="1" xfId="0" applyNumberFormat="1" applyFont="1" applyFill="1" applyBorder="1" applyAlignment="1" applyProtection="1">
      <alignment horizontal="center" vertical="center"/>
    </xf>
    <xf numFmtId="0" fontId="2" fillId="0" borderId="1" xfId="0" applyNumberFormat="1" applyFont="1" applyBorder="1" applyAlignment="1">
      <alignment horizontal="center" vertical="center"/>
    </xf>
    <xf numFmtId="0" fontId="2" fillId="13" borderId="1" xfId="0" applyNumberFormat="1" applyFont="1" applyFill="1" applyBorder="1" applyAlignment="1">
      <alignment horizontal="center" vertical="center"/>
    </xf>
    <xf numFmtId="0" fontId="2" fillId="0" borderId="0" xfId="0" applyNumberFormat="1" applyFont="1" applyBorder="1" applyAlignment="1" applyProtection="1">
      <alignment horizontal="center"/>
    </xf>
    <xf numFmtId="0" fontId="2" fillId="0" borderId="1" xfId="0" applyFont="1" applyFill="1" applyBorder="1" applyAlignment="1">
      <alignment vertical="center"/>
    </xf>
    <xf numFmtId="0" fontId="13" fillId="0" borderId="1" xfId="0" applyFont="1" applyFill="1" applyBorder="1" applyAlignment="1">
      <alignment vertical="center"/>
    </xf>
    <xf numFmtId="0" fontId="2" fillId="0" borderId="15" xfId="0" applyFont="1" applyBorder="1" applyAlignment="1" applyProtection="1">
      <alignment horizontal="left" vertical="center"/>
      <protection locked="0"/>
    </xf>
    <xf numFmtId="3" fontId="2" fillId="0" borderId="1" xfId="0" applyNumberFormat="1"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164" fontId="3" fillId="0" borderId="0" xfId="0" applyNumberFormat="1"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2" fillId="0" borderId="0" xfId="0" applyFont="1" applyBorder="1" applyAlignment="1" applyProtection="1">
      <alignment horizontal="left" vertical="center"/>
      <protection locked="0"/>
    </xf>
    <xf numFmtId="1" fontId="2" fillId="0" borderId="0" xfId="0" applyNumberFormat="1" applyFont="1" applyBorder="1" applyAlignment="1" applyProtection="1">
      <alignment horizontal="center" vertical="center"/>
      <protection locked="0"/>
    </xf>
    <xf numFmtId="0" fontId="2" fillId="11" borderId="0" xfId="0" applyFont="1" applyFill="1" applyBorder="1" applyAlignment="1" applyProtection="1">
      <alignment horizontal="left" vertical="center"/>
      <protection locked="0"/>
    </xf>
    <xf numFmtId="0" fontId="2" fillId="0" borderId="0" xfId="0" applyFont="1" applyBorder="1" applyAlignment="1" applyProtection="1">
      <alignment horizontal="center" vertical="center"/>
      <protection locked="0"/>
    </xf>
    <xf numFmtId="3" fontId="2" fillId="0" borderId="0" xfId="0" applyNumberFormat="1" applyFont="1" applyBorder="1" applyAlignment="1" applyProtection="1">
      <alignment horizontal="center" vertical="center"/>
      <protection locked="0"/>
    </xf>
    <xf numFmtId="0" fontId="2" fillId="0" borderId="16" xfId="0" applyFont="1" applyBorder="1" applyAlignment="1" applyProtection="1">
      <alignment horizontal="left" vertical="center"/>
      <protection locked="0"/>
    </xf>
    <xf numFmtId="0" fontId="2" fillId="0" borderId="1" xfId="0" applyFont="1" applyBorder="1" applyProtection="1"/>
    <xf numFmtId="0" fontId="5" fillId="0" borderId="1" xfId="0" applyFont="1" applyBorder="1" applyAlignment="1" applyProtection="1">
      <alignment horizontal="center"/>
    </xf>
    <xf numFmtId="0" fontId="2" fillId="0" borderId="1" xfId="0" applyFont="1" applyBorder="1" applyAlignment="1" applyProtection="1">
      <alignment horizontal="center"/>
    </xf>
    <xf numFmtId="0" fontId="2" fillId="0" borderId="17" xfId="0" applyFont="1" applyBorder="1" applyProtection="1"/>
    <xf numFmtId="164" fontId="3" fillId="0" borderId="18" xfId="0" applyNumberFormat="1"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12" fillId="0" borderId="18" xfId="0" applyFont="1" applyBorder="1" applyAlignment="1" applyProtection="1">
      <alignment horizontal="left" vertical="center"/>
      <protection locked="0"/>
    </xf>
    <xf numFmtId="0" fontId="2" fillId="0" borderId="18" xfId="0" applyFont="1" applyBorder="1" applyAlignment="1" applyProtection="1">
      <alignment horizontal="left" vertical="center"/>
      <protection locked="0"/>
    </xf>
    <xf numFmtId="0" fontId="2" fillId="0" borderId="1" xfId="0" applyNumberFormat="1" applyFont="1" applyBorder="1" applyAlignment="1" applyProtection="1">
      <alignment horizontal="center"/>
    </xf>
    <xf numFmtId="0" fontId="2" fillId="0" borderId="1" xfId="0" applyFont="1" applyBorder="1" applyAlignment="1" applyProtection="1">
      <alignment horizontal="left"/>
    </xf>
    <xf numFmtId="164" fontId="2" fillId="0" borderId="1" xfId="0" applyNumberFormat="1" applyFont="1" applyBorder="1" applyAlignment="1" applyProtection="1">
      <alignment horizontal="center"/>
    </xf>
    <xf numFmtId="3" fontId="2" fillId="0" borderId="1" xfId="0" applyNumberFormat="1" applyFont="1" applyBorder="1" applyAlignment="1" applyProtection="1">
      <alignment horizontal="center"/>
    </xf>
    <xf numFmtId="164" fontId="2" fillId="0" borderId="1" xfId="0" applyNumberFormat="1" applyFont="1" applyBorder="1" applyProtection="1"/>
    <xf numFmtId="3" fontId="16" fillId="0" borderId="1" xfId="0" applyNumberFormat="1" applyFont="1" applyBorder="1"/>
    <xf numFmtId="0" fontId="16" fillId="0" borderId="1" xfId="0" applyFont="1" applyBorder="1"/>
    <xf numFmtId="0" fontId="2" fillId="0" borderId="15" xfId="0" applyFont="1" applyBorder="1" applyProtection="1"/>
    <xf numFmtId="0" fontId="2" fillId="0" borderId="17" xfId="0" applyFont="1" applyBorder="1" applyAlignment="1" applyProtection="1">
      <alignment horizontal="center"/>
    </xf>
    <xf numFmtId="0" fontId="5" fillId="0" borderId="15" xfId="0" applyFont="1" applyBorder="1" applyAlignment="1" applyProtection="1">
      <alignment horizontal="center"/>
    </xf>
  </cellXfs>
  <cellStyles count="1">
    <cellStyle name="Normal" xfId="0" builtinId="0"/>
  </cellStyles>
  <dxfs count="21">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0</xdr:col>
      <xdr:colOff>409575</xdr:colOff>
      <xdr:row>2</xdr:row>
      <xdr:rowOff>133350</xdr:rowOff>
    </xdr:to>
    <xdr:pic>
      <xdr:nvPicPr>
        <xdr:cNvPr id="2" name="2 Imagen" descr="Ppba-Ltl.jp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38100"/>
          <a:ext cx="33337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86710</xdr:colOff>
      <xdr:row>34</xdr:row>
      <xdr:rowOff>57806</xdr:rowOff>
    </xdr:from>
    <xdr:to>
      <xdr:col>2</xdr:col>
      <xdr:colOff>0</xdr:colOff>
      <xdr:row>36</xdr:row>
      <xdr:rowOff>13138</xdr:rowOff>
    </xdr:to>
    <xdr:sp macro="" textlink="">
      <xdr:nvSpPr>
        <xdr:cNvPr id="3" name="2 CuadroTexto">
          <a:extLst>
            <a:ext uri="{FF2B5EF4-FFF2-40B4-BE49-F238E27FC236}">
              <a16:creationId xmlns:a16="http://schemas.microsoft.com/office/drawing/2014/main" id="{00000000-0008-0000-0200-000003000000}"/>
            </a:ext>
          </a:extLst>
        </xdr:cNvPr>
        <xdr:cNvSpPr txBox="1"/>
      </xdr:nvSpPr>
      <xdr:spPr>
        <a:xfrm>
          <a:off x="86710" y="9354206"/>
          <a:ext cx="5742590" cy="279182"/>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_tradnl" sz="1000" b="1">
              <a:latin typeface="Arial Rounded MT Bold" pitchFamily="34" charset="0"/>
            </a:rPr>
            <a:t>Importante:  </a:t>
          </a:r>
          <a:r>
            <a:rPr lang="es-ES_tradnl" sz="1000">
              <a:solidFill>
                <a:srgbClr val="FF0000"/>
              </a:solidFill>
              <a:latin typeface="Arial Rounded MT Bold" pitchFamily="34" charset="0"/>
            </a:rPr>
            <a:t>1) Todos</a:t>
          </a:r>
          <a:r>
            <a:rPr lang="es-ES_tradnl" sz="1000" baseline="0">
              <a:solidFill>
                <a:srgbClr val="FF0000"/>
              </a:solidFill>
              <a:latin typeface="Arial Rounded MT Bold" pitchFamily="34" charset="0"/>
            </a:rPr>
            <a:t> los campos son obligatorios.</a:t>
          </a:r>
        </a:p>
        <a:p>
          <a:pPr lvl="1" algn="just"/>
          <a:endParaRPr lang="es-ES_tradnl" sz="1000" baseline="0">
            <a:latin typeface="Arial Rounded MT Bold"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filterMode="1"/>
  <dimension ref="A1:U48690"/>
  <sheetViews>
    <sheetView tabSelected="1" workbookViewId="0">
      <pane ySplit="1" topLeftCell="A18" activePane="bottomLeft" state="frozen"/>
      <selection pane="bottomLeft" activeCell="U458" sqref="U458"/>
    </sheetView>
  </sheetViews>
  <sheetFormatPr baseColWidth="10" defaultRowHeight="12.75"/>
  <cols>
    <col min="1" max="1" width="4" style="40" bestFit="1" customWidth="1"/>
    <col min="2" max="2" width="24.42578125" style="62" bestFit="1" customWidth="1"/>
    <col min="3" max="3" width="14.85546875" style="40" bestFit="1" customWidth="1"/>
    <col min="4" max="4" width="16.42578125" style="40" bestFit="1" customWidth="1"/>
    <col min="5" max="5" width="18.85546875" style="40" customWidth="1"/>
    <col min="6" max="6" width="21.7109375" style="40" customWidth="1"/>
    <col min="7" max="7" width="32.5703125" style="40" customWidth="1"/>
    <col min="8" max="8" width="32.28515625" style="40" customWidth="1"/>
    <col min="9" max="9" width="16.85546875" style="40" customWidth="1"/>
    <col min="10" max="10" width="22.85546875" style="40" customWidth="1"/>
    <col min="11" max="11" width="17.7109375" style="99" customWidth="1"/>
    <col min="12" max="12" width="8.28515625" style="41" customWidth="1"/>
    <col min="13" max="13" width="20.7109375" style="40" customWidth="1"/>
    <col min="14" max="14" width="66.42578125" style="38" customWidth="1"/>
    <col min="15" max="15" width="24.42578125" style="38" customWidth="1"/>
    <col min="16" max="17" width="22" style="38" customWidth="1"/>
    <col min="18" max="18" width="30.42578125" style="72" customWidth="1"/>
    <col min="19" max="19" width="23.85546875" style="72" customWidth="1"/>
    <col min="20" max="20" width="30.7109375" style="72" customWidth="1"/>
    <col min="21" max="21" width="72.5703125" style="38" customWidth="1"/>
    <col min="22" max="16384" width="11.42578125" style="38"/>
  </cols>
  <sheetData>
    <row r="1" spans="1:21" ht="38.25">
      <c r="A1" s="37" t="s">
        <v>2833</v>
      </c>
      <c r="B1" s="60" t="s">
        <v>2834</v>
      </c>
      <c r="C1" s="59" t="s">
        <v>2835</v>
      </c>
      <c r="D1" s="59" t="s">
        <v>2836</v>
      </c>
      <c r="E1" s="37" t="s">
        <v>2139</v>
      </c>
      <c r="F1" s="37" t="s">
        <v>2138</v>
      </c>
      <c r="G1" s="37" t="s">
        <v>2396</v>
      </c>
      <c r="H1" s="37" t="s">
        <v>2397</v>
      </c>
      <c r="I1" s="37" t="s">
        <v>2134</v>
      </c>
      <c r="J1" s="37" t="s">
        <v>2135</v>
      </c>
      <c r="K1" s="96" t="s">
        <v>2140</v>
      </c>
      <c r="L1" s="37" t="s">
        <v>2137</v>
      </c>
      <c r="M1" s="37" t="s">
        <v>2136</v>
      </c>
      <c r="N1" s="37" t="s">
        <v>2438</v>
      </c>
      <c r="O1" s="37" t="s">
        <v>2193</v>
      </c>
      <c r="P1" s="37" t="s">
        <v>2194</v>
      </c>
      <c r="Q1" s="37" t="s">
        <v>2196</v>
      </c>
      <c r="R1" s="37" t="s">
        <v>2142</v>
      </c>
      <c r="S1" s="37" t="s">
        <v>2143</v>
      </c>
      <c r="T1" s="37" t="s">
        <v>2144</v>
      </c>
      <c r="U1" s="37" t="s">
        <v>2145</v>
      </c>
    </row>
    <row r="2" spans="1:21" hidden="1">
      <c r="A2" s="58">
        <v>1</v>
      </c>
      <c r="B2" s="61">
        <v>43925</v>
      </c>
      <c r="C2" s="65" t="s">
        <v>2122</v>
      </c>
      <c r="D2" s="65" t="s">
        <v>2121</v>
      </c>
      <c r="E2" s="66" t="s">
        <v>518</v>
      </c>
      <c r="F2" s="22" t="s">
        <v>1590</v>
      </c>
      <c r="G2" s="67" t="s">
        <v>2843</v>
      </c>
      <c r="H2" s="68" t="s">
        <v>2844</v>
      </c>
      <c r="I2" s="22" t="s">
        <v>2119</v>
      </c>
      <c r="J2" s="22" t="s">
        <v>1790</v>
      </c>
      <c r="K2" s="97" t="s">
        <v>2847</v>
      </c>
      <c r="L2" s="50">
        <v>28</v>
      </c>
      <c r="M2" s="22" t="s">
        <v>2123</v>
      </c>
      <c r="N2" s="22" t="s">
        <v>2587</v>
      </c>
      <c r="O2" s="46" t="str">
        <f>VLOOKUP(N2,Datos!$BJ$5:$BL$334,2,FALSE)</f>
        <v>PROPIEDAD</v>
      </c>
      <c r="P2" s="46" t="str">
        <f>VLOOKUP(N2,Datos!$BJ$5:$BL$334,3,FALSE)</f>
        <v>ROBO</v>
      </c>
      <c r="Q2" s="23"/>
      <c r="R2" s="69">
        <v>2</v>
      </c>
      <c r="S2" s="69">
        <v>2</v>
      </c>
      <c r="T2" s="65" t="s">
        <v>1575</v>
      </c>
      <c r="U2" s="45"/>
    </row>
    <row r="3" spans="1:21" hidden="1">
      <c r="A3" s="58">
        <v>2</v>
      </c>
      <c r="B3" s="61">
        <v>43925</v>
      </c>
      <c r="C3" s="65" t="s">
        <v>2122</v>
      </c>
      <c r="D3" s="65" t="s">
        <v>2121</v>
      </c>
      <c r="E3" s="66" t="s">
        <v>518</v>
      </c>
      <c r="F3" s="22" t="s">
        <v>1590</v>
      </c>
      <c r="G3" s="67" t="s">
        <v>2845</v>
      </c>
      <c r="H3" s="68" t="s">
        <v>2846</v>
      </c>
      <c r="I3" s="22" t="s">
        <v>2119</v>
      </c>
      <c r="J3" s="22" t="s">
        <v>1790</v>
      </c>
      <c r="K3" s="97" t="s">
        <v>2848</v>
      </c>
      <c r="L3" s="50">
        <v>29</v>
      </c>
      <c r="M3" s="22" t="s">
        <v>2123</v>
      </c>
      <c r="N3" s="22" t="s">
        <v>2587</v>
      </c>
      <c r="O3" s="46" t="str">
        <f>VLOOKUP(N3,Datos!$BJ$5:$BL$334,2,FALSE)</f>
        <v>PROPIEDAD</v>
      </c>
      <c r="P3" s="46" t="str">
        <f>VLOOKUP(N3,Datos!$BJ$5:$BL$334,3,FALSE)</f>
        <v>ROBO</v>
      </c>
      <c r="Q3" s="23"/>
      <c r="R3" s="69">
        <v>2</v>
      </c>
      <c r="S3" s="69">
        <v>2</v>
      </c>
      <c r="T3" s="65" t="s">
        <v>1575</v>
      </c>
      <c r="U3" s="45"/>
    </row>
    <row r="4" spans="1:21" hidden="1">
      <c r="A4" s="58">
        <v>6</v>
      </c>
      <c r="B4" s="61">
        <v>43973</v>
      </c>
      <c r="C4" s="65" t="s">
        <v>2122</v>
      </c>
      <c r="D4" s="65" t="s">
        <v>2121</v>
      </c>
      <c r="E4" s="66" t="s">
        <v>518</v>
      </c>
      <c r="F4" s="22" t="s">
        <v>1590</v>
      </c>
      <c r="G4" s="22" t="s">
        <v>2849</v>
      </c>
      <c r="H4" s="22" t="s">
        <v>2850</v>
      </c>
      <c r="I4" s="22" t="s">
        <v>2119</v>
      </c>
      <c r="J4" s="22" t="s">
        <v>1790</v>
      </c>
      <c r="K4" s="95" t="s">
        <v>2851</v>
      </c>
      <c r="L4" s="70">
        <v>19</v>
      </c>
      <c r="M4" s="22" t="s">
        <v>2123</v>
      </c>
      <c r="N4" s="22" t="s">
        <v>2369</v>
      </c>
      <c r="O4" s="46" t="str">
        <f>VLOOKUP(N4,Datos!$BJ$5:$BL$334,2,FALSE)</f>
        <v>LEY 23737</v>
      </c>
      <c r="P4" s="46" t="str">
        <f>VLOOKUP(N4,Datos!$BJ$5:$BL$334,3,FALSE)</f>
        <v>LEY 23737</v>
      </c>
      <c r="Q4" s="23" t="s">
        <v>2852</v>
      </c>
      <c r="R4" s="65">
        <v>2</v>
      </c>
      <c r="S4" s="65" t="s">
        <v>2853</v>
      </c>
      <c r="T4" s="65" t="s">
        <v>1575</v>
      </c>
      <c r="U4" s="45"/>
    </row>
    <row r="5" spans="1:21">
      <c r="A5" s="58">
        <v>7</v>
      </c>
      <c r="B5" s="61">
        <v>44026</v>
      </c>
      <c r="C5" s="65" t="s">
        <v>2122</v>
      </c>
      <c r="D5" s="65" t="s">
        <v>2121</v>
      </c>
      <c r="E5" s="66" t="s">
        <v>518</v>
      </c>
      <c r="F5" s="22" t="s">
        <v>1589</v>
      </c>
      <c r="G5" s="22" t="s">
        <v>2854</v>
      </c>
      <c r="H5" s="22" t="s">
        <v>2855</v>
      </c>
      <c r="I5" s="22" t="s">
        <v>2119</v>
      </c>
      <c r="J5" s="22" t="s">
        <v>1790</v>
      </c>
      <c r="K5" s="95" t="s">
        <v>2856</v>
      </c>
      <c r="L5" s="50">
        <v>30</v>
      </c>
      <c r="M5" s="22" t="s">
        <v>2123</v>
      </c>
      <c r="N5" s="22" t="s">
        <v>2520</v>
      </c>
      <c r="O5" s="46" t="str">
        <f>VLOOKUP(N5,Datos!$BJ$5:$BL$334,2,FALSE)</f>
        <v>PROPIEDAD</v>
      </c>
      <c r="P5" s="46" t="str">
        <f>VLOOKUP(N5,Datos!$BJ$5:$BL$334,3,FALSE)</f>
        <v>ROBO</v>
      </c>
      <c r="Q5" s="23" t="s">
        <v>2857</v>
      </c>
      <c r="R5" s="65">
        <v>2</v>
      </c>
      <c r="S5" s="65">
        <v>2</v>
      </c>
      <c r="T5" s="65" t="s">
        <v>1575</v>
      </c>
      <c r="U5" s="45"/>
    </row>
    <row r="6" spans="1:21" hidden="1">
      <c r="A6" s="58">
        <v>10</v>
      </c>
      <c r="B6" s="61">
        <v>44075</v>
      </c>
      <c r="C6" s="65" t="s">
        <v>2121</v>
      </c>
      <c r="D6" s="65" t="s">
        <v>2122</v>
      </c>
      <c r="E6" s="66" t="s">
        <v>518</v>
      </c>
      <c r="F6" s="22" t="s">
        <v>1590</v>
      </c>
      <c r="G6" s="22" t="s">
        <v>2859</v>
      </c>
      <c r="H6" s="22" t="s">
        <v>2860</v>
      </c>
      <c r="I6" s="22" t="s">
        <v>2120</v>
      </c>
      <c r="J6" s="22" t="s">
        <v>1790</v>
      </c>
      <c r="K6" s="95" t="s">
        <v>2862</v>
      </c>
      <c r="L6" s="50">
        <v>23</v>
      </c>
      <c r="M6" s="22" t="s">
        <v>2123</v>
      </c>
      <c r="N6" s="22" t="s">
        <v>2369</v>
      </c>
      <c r="O6" s="46" t="str">
        <f>VLOOKUP(N6,Datos!$BJ$5:$BL$334,2,FALSE)</f>
        <v>LEY 23737</v>
      </c>
      <c r="P6" s="46" t="str">
        <f>VLOOKUP(N6,Datos!$BJ$5:$BL$334,3,FALSE)</f>
        <v>LEY 23737</v>
      </c>
      <c r="Q6" s="71" t="s">
        <v>2861</v>
      </c>
      <c r="R6" s="65">
        <v>3</v>
      </c>
      <c r="S6" s="65">
        <v>2</v>
      </c>
      <c r="T6" s="65" t="s">
        <v>1575</v>
      </c>
      <c r="U6" s="45" t="s">
        <v>2863</v>
      </c>
    </row>
    <row r="7" spans="1:21" hidden="1">
      <c r="A7" s="58">
        <v>11</v>
      </c>
      <c r="B7" s="61">
        <v>44075</v>
      </c>
      <c r="C7" s="65" t="s">
        <v>2121</v>
      </c>
      <c r="D7" s="65" t="s">
        <v>2122</v>
      </c>
      <c r="E7" s="66" t="s">
        <v>518</v>
      </c>
      <c r="F7" s="22" t="s">
        <v>1590</v>
      </c>
      <c r="G7" s="22" t="s">
        <v>2864</v>
      </c>
      <c r="H7" s="22" t="s">
        <v>2865</v>
      </c>
      <c r="I7" s="22" t="s">
        <v>2120</v>
      </c>
      <c r="J7" s="22" t="s">
        <v>1790</v>
      </c>
      <c r="K7" s="95" t="s">
        <v>2866</v>
      </c>
      <c r="L7" s="50">
        <v>24</v>
      </c>
      <c r="M7" s="22" t="s">
        <v>2123</v>
      </c>
      <c r="N7" s="22" t="s">
        <v>2170</v>
      </c>
      <c r="O7" s="46" t="str">
        <f>VLOOKUP(N7,Datos!$BJ$5:$BL$334,2,FALSE)</f>
        <v>PROPIEDAD</v>
      </c>
      <c r="P7" s="46" t="str">
        <f>VLOOKUP(N7,Datos!$BJ$5:$BL$334,3,FALSE)</f>
        <v>OTROS (C/LAS PERSONAS)</v>
      </c>
      <c r="Q7" s="23" t="s">
        <v>2867</v>
      </c>
      <c r="R7" s="65">
        <v>3</v>
      </c>
      <c r="S7" s="65">
        <v>2</v>
      </c>
      <c r="T7" s="65" t="s">
        <v>1575</v>
      </c>
      <c r="U7" s="45" t="s">
        <v>2863</v>
      </c>
    </row>
    <row r="8" spans="1:21" hidden="1">
      <c r="A8" s="58">
        <v>13</v>
      </c>
      <c r="B8" s="61">
        <v>44081</v>
      </c>
      <c r="C8" s="65" t="s">
        <v>2121</v>
      </c>
      <c r="D8" s="65" t="s">
        <v>2122</v>
      </c>
      <c r="E8" s="66" t="s">
        <v>518</v>
      </c>
      <c r="F8" s="22" t="s">
        <v>1590</v>
      </c>
      <c r="G8" s="22" t="s">
        <v>2870</v>
      </c>
      <c r="H8" s="22" t="s">
        <v>2871</v>
      </c>
      <c r="I8" s="22" t="s">
        <v>2120</v>
      </c>
      <c r="J8" s="22" t="s">
        <v>1790</v>
      </c>
      <c r="K8" s="73">
        <v>38060230</v>
      </c>
      <c r="L8" s="75">
        <v>25</v>
      </c>
      <c r="M8" s="22" t="s">
        <v>2123</v>
      </c>
      <c r="N8" s="22" t="s">
        <v>2187</v>
      </c>
      <c r="O8" s="46" t="str">
        <f>VLOOKUP(N8,Datos!$BJ$5:$BL$334,2,FALSE)</f>
        <v>ADMINISTRACIÓN PÚBLICA</v>
      </c>
      <c r="P8" s="46" t="str">
        <f>VLOOKUP(N8,Datos!$BJ$5:$BL$334,3,FALSE)</f>
        <v>ENCUBRIMIENTO</v>
      </c>
      <c r="Q8" s="76" t="s">
        <v>2872</v>
      </c>
      <c r="R8" s="73">
        <v>5</v>
      </c>
      <c r="S8" s="73">
        <v>3</v>
      </c>
      <c r="T8" s="75" t="s">
        <v>1575</v>
      </c>
      <c r="U8" s="45" t="s">
        <v>2869</v>
      </c>
    </row>
    <row r="9" spans="1:21" hidden="1">
      <c r="A9" s="58">
        <v>14</v>
      </c>
      <c r="B9" s="61">
        <v>44081</v>
      </c>
      <c r="C9" s="65" t="s">
        <v>2121</v>
      </c>
      <c r="D9" s="65" t="s">
        <v>2122</v>
      </c>
      <c r="E9" s="66" t="s">
        <v>518</v>
      </c>
      <c r="F9" s="22" t="s">
        <v>1590</v>
      </c>
      <c r="G9" s="22" t="s">
        <v>2873</v>
      </c>
      <c r="H9" s="22" t="s">
        <v>2874</v>
      </c>
      <c r="I9" s="22" t="s">
        <v>2120</v>
      </c>
      <c r="J9" s="22" t="s">
        <v>1790</v>
      </c>
      <c r="K9" s="98">
        <v>38103864</v>
      </c>
      <c r="L9" s="77">
        <v>25</v>
      </c>
      <c r="M9" s="22" t="s">
        <v>2123</v>
      </c>
      <c r="N9" s="22" t="s">
        <v>2524</v>
      </c>
      <c r="O9" s="46" t="str">
        <f>VLOOKUP(N9,Datos!$BJ$5:$BL$334,2,FALSE)</f>
        <v>SEGURIDAD PÚBLICA</v>
      </c>
      <c r="P9" s="46" t="str">
        <f>VLOOKUP(N9,Datos!$BJ$5:$BL$334,3,FALSE)</f>
        <v>TENENCIA ARMA</v>
      </c>
      <c r="Q9" s="76" t="s">
        <v>2875</v>
      </c>
      <c r="R9" s="78" t="s">
        <v>2876</v>
      </c>
      <c r="S9" s="78" t="s">
        <v>2877</v>
      </c>
      <c r="T9" s="77" t="s">
        <v>1575</v>
      </c>
      <c r="U9" s="45" t="s">
        <v>2878</v>
      </c>
    </row>
    <row r="10" spans="1:21" hidden="1">
      <c r="A10" s="58">
        <v>15</v>
      </c>
      <c r="B10" s="61">
        <v>44081</v>
      </c>
      <c r="C10" s="65" t="s">
        <v>2121</v>
      </c>
      <c r="D10" s="65" t="s">
        <v>2122</v>
      </c>
      <c r="E10" s="66" t="s">
        <v>518</v>
      </c>
      <c r="F10" s="22" t="s">
        <v>1590</v>
      </c>
      <c r="G10" s="22" t="s">
        <v>2879</v>
      </c>
      <c r="H10" s="22" t="s">
        <v>2880</v>
      </c>
      <c r="I10" s="22" t="s">
        <v>2120</v>
      </c>
      <c r="J10" s="22" t="s">
        <v>1790</v>
      </c>
      <c r="K10" s="98">
        <v>35766550</v>
      </c>
      <c r="L10" s="77">
        <v>29</v>
      </c>
      <c r="M10" s="22" t="s">
        <v>2123</v>
      </c>
      <c r="N10" s="22" t="s">
        <v>2367</v>
      </c>
      <c r="O10" s="46" t="str">
        <f>VLOOKUP(N10,Datos!$BJ$5:$BL$334,2,FALSE)</f>
        <v>OTROS DELITOS</v>
      </c>
      <c r="P10" s="46" t="str">
        <f>VLOOKUP(N10,Datos!$BJ$5:$BL$334,3,FALSE)</f>
        <v>OTROS DELITOS</v>
      </c>
      <c r="Q10" s="76" t="s">
        <v>2881</v>
      </c>
      <c r="R10" s="78" t="s">
        <v>2882</v>
      </c>
      <c r="S10" s="78" t="s">
        <v>2883</v>
      </c>
      <c r="T10" s="77" t="s">
        <v>1575</v>
      </c>
      <c r="U10" s="45" t="s">
        <v>2878</v>
      </c>
    </row>
    <row r="11" spans="1:21" hidden="1">
      <c r="A11" s="58">
        <v>18</v>
      </c>
      <c r="B11" s="61">
        <v>44084</v>
      </c>
      <c r="C11" s="65" t="s">
        <v>2121</v>
      </c>
      <c r="D11" s="65" t="s">
        <v>2122</v>
      </c>
      <c r="E11" s="66" t="s">
        <v>518</v>
      </c>
      <c r="F11" s="22" t="s">
        <v>1590</v>
      </c>
      <c r="G11" s="22" t="s">
        <v>2884</v>
      </c>
      <c r="H11" s="22" t="s">
        <v>2885</v>
      </c>
      <c r="I11" s="22" t="s">
        <v>2119</v>
      </c>
      <c r="J11" s="22" t="s">
        <v>1790</v>
      </c>
      <c r="K11" s="95" t="s">
        <v>2886</v>
      </c>
      <c r="L11" s="50">
        <v>30</v>
      </c>
      <c r="M11" s="22" t="s">
        <v>2123</v>
      </c>
      <c r="N11" s="22" t="s">
        <v>2209</v>
      </c>
      <c r="O11" s="46" t="str">
        <f>VLOOKUP(N11,Datos!$BJ$5:$BL$334,2,FALSE)</f>
        <v>PERSONAS</v>
      </c>
      <c r="P11" s="46" t="str">
        <f>VLOOKUP(N11,Datos!$BJ$5:$BL$334,3,FALSE)</f>
        <v>LESIONES</v>
      </c>
      <c r="Q11" s="76" t="s">
        <v>2887</v>
      </c>
      <c r="R11" s="65">
        <v>2</v>
      </c>
      <c r="S11" s="65">
        <v>3</v>
      </c>
      <c r="T11" s="65" t="s">
        <v>1575</v>
      </c>
      <c r="U11" s="45" t="s">
        <v>33</v>
      </c>
    </row>
    <row r="12" spans="1:21" hidden="1">
      <c r="A12" s="58">
        <v>19</v>
      </c>
      <c r="B12" s="61">
        <v>44084</v>
      </c>
      <c r="C12" s="65" t="s">
        <v>2121</v>
      </c>
      <c r="D12" s="65" t="s">
        <v>2122</v>
      </c>
      <c r="E12" s="66" t="s">
        <v>518</v>
      </c>
      <c r="F12" s="22" t="s">
        <v>1590</v>
      </c>
      <c r="G12" s="22" t="s">
        <v>2888</v>
      </c>
      <c r="H12" s="22" t="s">
        <v>2889</v>
      </c>
      <c r="I12" s="22" t="s">
        <v>2120</v>
      </c>
      <c r="J12" s="22" t="s">
        <v>1790</v>
      </c>
      <c r="K12" s="95" t="s">
        <v>2890</v>
      </c>
      <c r="L12" s="50">
        <v>35</v>
      </c>
      <c r="M12" s="22" t="s">
        <v>2123</v>
      </c>
      <c r="N12" s="22" t="s">
        <v>2209</v>
      </c>
      <c r="O12" s="46" t="str">
        <f>VLOOKUP(N12,Datos!$BJ$5:$BL$334,2,FALSE)</f>
        <v>PERSONAS</v>
      </c>
      <c r="P12" s="46" t="str">
        <f>VLOOKUP(N12,Datos!$BJ$5:$BL$334,3,FALSE)</f>
        <v>LESIONES</v>
      </c>
      <c r="Q12" s="76" t="s">
        <v>2887</v>
      </c>
      <c r="R12" s="65">
        <v>2</v>
      </c>
      <c r="S12" s="65">
        <v>3</v>
      </c>
      <c r="T12" s="65" t="s">
        <v>1575</v>
      </c>
      <c r="U12" s="45" t="s">
        <v>33</v>
      </c>
    </row>
    <row r="13" spans="1:21" hidden="1">
      <c r="A13" s="58">
        <v>23</v>
      </c>
      <c r="B13" s="61">
        <v>44088</v>
      </c>
      <c r="C13" s="65" t="s">
        <v>2121</v>
      </c>
      <c r="D13" s="65" t="s">
        <v>2122</v>
      </c>
      <c r="E13" s="66" t="s">
        <v>518</v>
      </c>
      <c r="F13" s="22" t="s">
        <v>1590</v>
      </c>
      <c r="G13" s="22" t="s">
        <v>2894</v>
      </c>
      <c r="H13" s="22" t="s">
        <v>2895</v>
      </c>
      <c r="I13" s="22" t="s">
        <v>2120</v>
      </c>
      <c r="J13" s="22" t="s">
        <v>1790</v>
      </c>
      <c r="K13" s="73">
        <v>38662656</v>
      </c>
      <c r="L13" s="75">
        <v>26</v>
      </c>
      <c r="M13" s="22" t="s">
        <v>2123</v>
      </c>
      <c r="N13" s="22" t="s">
        <v>2171</v>
      </c>
      <c r="O13" s="46" t="str">
        <f>VLOOKUP(N13,Datos!$BJ$5:$BL$334,2,FALSE)</f>
        <v>PROPIEDAD</v>
      </c>
      <c r="P13" s="46" t="str">
        <f>VLOOKUP(N13,Datos!$BJ$5:$BL$334,3,FALSE)</f>
        <v>ROBO</v>
      </c>
      <c r="Q13" s="74" t="s">
        <v>2896</v>
      </c>
      <c r="R13" s="79" t="s">
        <v>2882</v>
      </c>
      <c r="S13" s="79" t="s">
        <v>2882</v>
      </c>
      <c r="T13" s="75" t="s">
        <v>1575</v>
      </c>
      <c r="U13" s="45" t="s">
        <v>2878</v>
      </c>
    </row>
    <row r="14" spans="1:21" hidden="1">
      <c r="A14" s="58">
        <v>24</v>
      </c>
      <c r="B14" s="61">
        <v>44090</v>
      </c>
      <c r="C14" s="65" t="s">
        <v>2121</v>
      </c>
      <c r="D14" s="65" t="s">
        <v>2122</v>
      </c>
      <c r="E14" s="66" t="s">
        <v>518</v>
      </c>
      <c r="F14" s="22" t="s">
        <v>1590</v>
      </c>
      <c r="G14" s="22" t="s">
        <v>2897</v>
      </c>
      <c r="H14" s="22" t="s">
        <v>2898</v>
      </c>
      <c r="I14" s="22" t="s">
        <v>2120</v>
      </c>
      <c r="J14" s="22" t="s">
        <v>1790</v>
      </c>
      <c r="K14" s="95" t="s">
        <v>2899</v>
      </c>
      <c r="L14" s="50">
        <v>31</v>
      </c>
      <c r="M14" s="22" t="s">
        <v>2123</v>
      </c>
      <c r="N14" s="22" t="s">
        <v>2187</v>
      </c>
      <c r="O14" s="46" t="str">
        <f>VLOOKUP(N14,Datos!$BJ$5:$BL$334,2,FALSE)</f>
        <v>ADMINISTRACIÓN PÚBLICA</v>
      </c>
      <c r="P14" s="46" t="str">
        <f>VLOOKUP(N14,Datos!$BJ$5:$BL$334,3,FALSE)</f>
        <v>ENCUBRIMIENTO</v>
      </c>
      <c r="Q14" s="74" t="s">
        <v>2900</v>
      </c>
      <c r="R14" s="79" t="s">
        <v>2882</v>
      </c>
      <c r="S14" s="79" t="s">
        <v>2901</v>
      </c>
      <c r="T14" s="75" t="s">
        <v>1575</v>
      </c>
      <c r="U14" s="45" t="s">
        <v>33</v>
      </c>
    </row>
    <row r="15" spans="1:21" hidden="1">
      <c r="A15" s="58">
        <v>27</v>
      </c>
      <c r="B15" s="61">
        <v>44092</v>
      </c>
      <c r="C15" s="65" t="s">
        <v>2121</v>
      </c>
      <c r="D15" s="65" t="s">
        <v>2122</v>
      </c>
      <c r="E15" s="66" t="s">
        <v>518</v>
      </c>
      <c r="F15" s="22" t="s">
        <v>1590</v>
      </c>
      <c r="G15" s="22" t="s">
        <v>2902</v>
      </c>
      <c r="H15" s="22" t="s">
        <v>2903</v>
      </c>
      <c r="I15" s="22" t="s">
        <v>2120</v>
      </c>
      <c r="J15" s="22" t="s">
        <v>1790</v>
      </c>
      <c r="K15" s="98">
        <v>32784336</v>
      </c>
      <c r="L15" s="77">
        <v>33</v>
      </c>
      <c r="M15" s="22" t="s">
        <v>2123</v>
      </c>
      <c r="N15" s="22" t="s">
        <v>2369</v>
      </c>
      <c r="O15" s="46" t="str">
        <f>VLOOKUP(N15,Datos!$BJ$5:$BL$334,2,FALSE)</f>
        <v>LEY 23737</v>
      </c>
      <c r="P15" s="46" t="str">
        <f>VLOOKUP(N15,Datos!$BJ$5:$BL$334,3,FALSE)</f>
        <v>LEY 23737</v>
      </c>
      <c r="Q15" s="76" t="s">
        <v>2904</v>
      </c>
      <c r="R15" s="78" t="s">
        <v>2882</v>
      </c>
      <c r="S15" s="78" t="s">
        <v>2882</v>
      </c>
      <c r="T15" s="65" t="s">
        <v>1575</v>
      </c>
      <c r="U15" s="45" t="s">
        <v>33</v>
      </c>
    </row>
    <row r="16" spans="1:21" hidden="1">
      <c r="A16" s="58">
        <v>28</v>
      </c>
      <c r="B16" s="61">
        <v>44092</v>
      </c>
      <c r="C16" s="65" t="s">
        <v>2121</v>
      </c>
      <c r="D16" s="65" t="s">
        <v>2122</v>
      </c>
      <c r="E16" s="66" t="s">
        <v>518</v>
      </c>
      <c r="F16" s="22" t="s">
        <v>1590</v>
      </c>
      <c r="G16" s="22" t="s">
        <v>2905</v>
      </c>
      <c r="H16" s="22" t="s">
        <v>2906</v>
      </c>
      <c r="I16" s="22" t="s">
        <v>2120</v>
      </c>
      <c r="J16" s="22" t="s">
        <v>1790</v>
      </c>
      <c r="K16" s="73">
        <v>34631499</v>
      </c>
      <c r="L16" s="75">
        <v>31</v>
      </c>
      <c r="M16" s="22" t="s">
        <v>2123</v>
      </c>
      <c r="N16" s="22" t="s">
        <v>2562</v>
      </c>
      <c r="O16" s="46" t="str">
        <f>VLOOKUP(N16,Datos!$BJ$5:$BL$334,2,FALSE)</f>
        <v>PROPIEDAD</v>
      </c>
      <c r="P16" s="46" t="str">
        <f>VLOOKUP(N16,Datos!$BJ$5:$BL$334,3,FALSE)</f>
        <v>OTROS (C/PROPIEDAD)</v>
      </c>
      <c r="Q16" s="74" t="s">
        <v>2907</v>
      </c>
      <c r="R16" s="79" t="s">
        <v>2882</v>
      </c>
      <c r="S16" s="79" t="s">
        <v>2893</v>
      </c>
      <c r="T16" s="75" t="s">
        <v>1575</v>
      </c>
      <c r="U16" s="45" t="s">
        <v>33</v>
      </c>
    </row>
    <row r="17" spans="1:21" hidden="1">
      <c r="A17" s="58">
        <v>29</v>
      </c>
      <c r="B17" s="61">
        <v>44092</v>
      </c>
      <c r="C17" s="65" t="s">
        <v>2121</v>
      </c>
      <c r="D17" s="65" t="s">
        <v>2122</v>
      </c>
      <c r="E17" s="66" t="s">
        <v>518</v>
      </c>
      <c r="F17" s="22" t="s">
        <v>1590</v>
      </c>
      <c r="G17" s="22" t="s">
        <v>2908</v>
      </c>
      <c r="H17" s="22" t="s">
        <v>2909</v>
      </c>
      <c r="I17" s="22" t="s">
        <v>2120</v>
      </c>
      <c r="J17" s="22" t="s">
        <v>1790</v>
      </c>
      <c r="K17" s="73">
        <v>32675044</v>
      </c>
      <c r="L17" s="75">
        <v>34</v>
      </c>
      <c r="M17" s="22" t="s">
        <v>2123</v>
      </c>
      <c r="N17" s="22" t="s">
        <v>2562</v>
      </c>
      <c r="O17" s="46" t="str">
        <f>VLOOKUP(N17,Datos!$BJ$5:$BL$334,2,FALSE)</f>
        <v>PROPIEDAD</v>
      </c>
      <c r="P17" s="46" t="str">
        <f>VLOOKUP(N17,Datos!$BJ$5:$BL$334,3,FALSE)</f>
        <v>OTROS (C/PROPIEDAD)</v>
      </c>
      <c r="Q17" s="74" t="s">
        <v>2907</v>
      </c>
      <c r="R17" s="79" t="s">
        <v>2882</v>
      </c>
      <c r="S17" s="79" t="s">
        <v>2893</v>
      </c>
      <c r="T17" s="75" t="s">
        <v>1575</v>
      </c>
      <c r="U17" s="45" t="s">
        <v>33</v>
      </c>
    </row>
    <row r="18" spans="1:21">
      <c r="A18" s="58">
        <v>30</v>
      </c>
      <c r="B18" s="61">
        <v>44095</v>
      </c>
      <c r="C18" s="65" t="s">
        <v>2121</v>
      </c>
      <c r="D18" s="65" t="s">
        <v>2122</v>
      </c>
      <c r="E18" s="66" t="s">
        <v>518</v>
      </c>
      <c r="F18" s="22" t="s">
        <v>1589</v>
      </c>
      <c r="G18" s="22" t="s">
        <v>2910</v>
      </c>
      <c r="H18" s="22" t="s">
        <v>2911</v>
      </c>
      <c r="I18" s="22" t="s">
        <v>2120</v>
      </c>
      <c r="J18" s="22" t="s">
        <v>1790</v>
      </c>
      <c r="K18" s="95" t="s">
        <v>2912</v>
      </c>
      <c r="L18" s="50">
        <v>19</v>
      </c>
      <c r="M18" s="22" t="s">
        <v>2123</v>
      </c>
      <c r="N18" s="22" t="s">
        <v>2562</v>
      </c>
      <c r="O18" s="46" t="str">
        <f>VLOOKUP(N18,Datos!$BJ$5:$BL$334,2,FALSE)</f>
        <v>PROPIEDAD</v>
      </c>
      <c r="P18" s="46" t="str">
        <f>VLOOKUP(N18,Datos!$BJ$5:$BL$334,3,FALSE)</f>
        <v>OTROS (C/PROPIEDAD)</v>
      </c>
      <c r="Q18" s="23"/>
      <c r="R18" s="65">
        <v>1</v>
      </c>
      <c r="S18" s="65">
        <v>2</v>
      </c>
      <c r="T18" s="65" t="s">
        <v>1575</v>
      </c>
      <c r="U18" s="45" t="s">
        <v>33</v>
      </c>
    </row>
    <row r="19" spans="1:21" hidden="1">
      <c r="A19" s="58">
        <v>31</v>
      </c>
      <c r="B19" s="61">
        <v>44095</v>
      </c>
      <c r="C19" s="65" t="s">
        <v>2121</v>
      </c>
      <c r="D19" s="65" t="s">
        <v>2122</v>
      </c>
      <c r="E19" s="66" t="s">
        <v>518</v>
      </c>
      <c r="F19" s="22" t="s">
        <v>1590</v>
      </c>
      <c r="G19" s="22" t="s">
        <v>2913</v>
      </c>
      <c r="H19" s="22" t="s">
        <v>2914</v>
      </c>
      <c r="I19" s="22" t="s">
        <v>2120</v>
      </c>
      <c r="J19" s="22" t="s">
        <v>1790</v>
      </c>
      <c r="K19" s="73">
        <v>27776120</v>
      </c>
      <c r="L19" s="50">
        <v>40</v>
      </c>
      <c r="M19" s="22" t="s">
        <v>2123</v>
      </c>
      <c r="N19" s="22" t="s">
        <v>2162</v>
      </c>
      <c r="O19" s="46" t="str">
        <f>VLOOKUP(N19,Datos!$BJ$5:$BL$334,2,FALSE)</f>
        <v>PERSONAS</v>
      </c>
      <c r="P19" s="46" t="str">
        <f>VLOOKUP(N19,Datos!$BJ$5:$BL$334,3,FALSE)</f>
        <v>LESIONES</v>
      </c>
      <c r="Q19" s="74" t="s">
        <v>2915</v>
      </c>
      <c r="R19" s="65">
        <v>3</v>
      </c>
      <c r="S19" s="65">
        <v>5</v>
      </c>
      <c r="T19" s="65" t="s">
        <v>1575</v>
      </c>
      <c r="U19" s="45" t="s">
        <v>33</v>
      </c>
    </row>
    <row r="20" spans="1:21" hidden="1">
      <c r="A20" s="58">
        <v>34</v>
      </c>
      <c r="B20" s="61">
        <v>44096</v>
      </c>
      <c r="C20" s="65" t="s">
        <v>2121</v>
      </c>
      <c r="D20" s="65" t="s">
        <v>2122</v>
      </c>
      <c r="E20" s="66" t="s">
        <v>518</v>
      </c>
      <c r="F20" s="22" t="s">
        <v>1590</v>
      </c>
      <c r="G20" s="22" t="s">
        <v>2916</v>
      </c>
      <c r="H20" s="22" t="s">
        <v>2917</v>
      </c>
      <c r="I20" s="22" t="s">
        <v>2120</v>
      </c>
      <c r="J20" s="22" t="s">
        <v>1790</v>
      </c>
      <c r="K20" s="95" t="s">
        <v>2918</v>
      </c>
      <c r="L20" s="50">
        <v>31</v>
      </c>
      <c r="M20" s="22" t="s">
        <v>2123</v>
      </c>
      <c r="N20" s="22" t="s">
        <v>2171</v>
      </c>
      <c r="O20" s="46" t="str">
        <f>VLOOKUP(N20,Datos!$BJ$5:$BL$334,2,FALSE)</f>
        <v>PROPIEDAD</v>
      </c>
      <c r="P20" s="46" t="str">
        <f>VLOOKUP(N20,Datos!$BJ$5:$BL$334,3,FALSE)</f>
        <v>ROBO</v>
      </c>
      <c r="Q20" s="80" t="s">
        <v>2919</v>
      </c>
      <c r="R20" s="65">
        <v>2</v>
      </c>
      <c r="S20" s="65">
        <v>2</v>
      </c>
      <c r="T20" s="65" t="s">
        <v>1575</v>
      </c>
      <c r="U20" s="45" t="s">
        <v>2920</v>
      </c>
    </row>
    <row r="21" spans="1:21" hidden="1">
      <c r="A21" s="58">
        <v>37</v>
      </c>
      <c r="B21" s="61">
        <v>44102</v>
      </c>
      <c r="C21" s="65" t="s">
        <v>2121</v>
      </c>
      <c r="D21" s="65" t="s">
        <v>2122</v>
      </c>
      <c r="E21" s="66" t="s">
        <v>518</v>
      </c>
      <c r="F21" s="22" t="s">
        <v>1590</v>
      </c>
      <c r="G21" s="22" t="s">
        <v>2921</v>
      </c>
      <c r="H21" s="22" t="s">
        <v>2922</v>
      </c>
      <c r="I21" s="22" t="s">
        <v>2120</v>
      </c>
      <c r="J21" s="22" t="s">
        <v>1790</v>
      </c>
      <c r="K21" s="95">
        <v>36476507</v>
      </c>
      <c r="L21" s="50">
        <v>29</v>
      </c>
      <c r="M21" s="22" t="s">
        <v>2123</v>
      </c>
      <c r="N21" s="22" t="s">
        <v>2171</v>
      </c>
      <c r="O21" s="46" t="str">
        <f>VLOOKUP(N21,Datos!$BJ$5:$BL$334,2,FALSE)</f>
        <v>PROPIEDAD</v>
      </c>
      <c r="P21" s="46" t="str">
        <f>VLOOKUP(N21,Datos!$BJ$5:$BL$334,3,FALSE)</f>
        <v>ROBO</v>
      </c>
      <c r="Q21" s="23" t="s">
        <v>2923</v>
      </c>
      <c r="R21" s="65" t="s">
        <v>2882</v>
      </c>
      <c r="S21" s="65" t="s">
        <v>2882</v>
      </c>
      <c r="T21" s="65" t="s">
        <v>1575</v>
      </c>
      <c r="U21" s="45" t="s">
        <v>33</v>
      </c>
    </row>
    <row r="22" spans="1:21" hidden="1">
      <c r="A22" s="58">
        <v>39</v>
      </c>
      <c r="B22" s="61">
        <v>44105</v>
      </c>
      <c r="C22" s="65" t="s">
        <v>2121</v>
      </c>
      <c r="D22" s="65" t="s">
        <v>2122</v>
      </c>
      <c r="E22" s="66" t="s">
        <v>518</v>
      </c>
      <c r="F22" s="22" t="s">
        <v>1590</v>
      </c>
      <c r="G22" s="22" t="s">
        <v>2924</v>
      </c>
      <c r="H22" s="22" t="s">
        <v>2925</v>
      </c>
      <c r="I22" s="22" t="s">
        <v>2120</v>
      </c>
      <c r="J22" s="22" t="s">
        <v>1790</v>
      </c>
      <c r="K22" s="91">
        <v>43801715</v>
      </c>
      <c r="L22" s="83">
        <v>18</v>
      </c>
      <c r="M22" s="22" t="s">
        <v>2123</v>
      </c>
      <c r="N22" s="22" t="s">
        <v>2509</v>
      </c>
      <c r="O22" s="46" t="str">
        <f>VLOOKUP(N22,Datos!$BJ$5:$BL$334,2,FALSE)</f>
        <v>PERSONAS</v>
      </c>
      <c r="P22" s="46" t="str">
        <f>VLOOKUP(N22,Datos!$BJ$5:$BL$334,3,FALSE)</f>
        <v>OTROS (C/LAS PERSONAS)</v>
      </c>
      <c r="Q22" s="80" t="s">
        <v>2928</v>
      </c>
      <c r="R22" s="65">
        <v>2</v>
      </c>
      <c r="S22" s="65">
        <v>7</v>
      </c>
      <c r="T22" s="65" t="s">
        <v>1575</v>
      </c>
      <c r="U22" s="45" t="s">
        <v>33</v>
      </c>
    </row>
    <row r="23" spans="1:21" hidden="1">
      <c r="A23" s="58">
        <v>40</v>
      </c>
      <c r="B23" s="61">
        <v>44105</v>
      </c>
      <c r="C23" s="65" t="s">
        <v>2121</v>
      </c>
      <c r="D23" s="65" t="s">
        <v>2122</v>
      </c>
      <c r="E23" s="66" t="s">
        <v>518</v>
      </c>
      <c r="F23" s="22" t="s">
        <v>1590</v>
      </c>
      <c r="G23" s="22" t="s">
        <v>2864</v>
      </c>
      <c r="H23" s="22" t="s">
        <v>2926</v>
      </c>
      <c r="I23" s="22" t="s">
        <v>2120</v>
      </c>
      <c r="J23" s="22" t="s">
        <v>1790</v>
      </c>
      <c r="K23" s="91">
        <v>39663365</v>
      </c>
      <c r="L23" s="83">
        <v>24</v>
      </c>
      <c r="M23" s="22" t="s">
        <v>2123</v>
      </c>
      <c r="N23" s="22" t="s">
        <v>2171</v>
      </c>
      <c r="O23" s="46" t="str">
        <f>VLOOKUP(N23,Datos!$BJ$5:$BL$334,2,FALSE)</f>
        <v>PROPIEDAD</v>
      </c>
      <c r="P23" s="46" t="str">
        <f>VLOOKUP(N23,Datos!$BJ$5:$BL$334,3,FALSE)</f>
        <v>ROBO</v>
      </c>
      <c r="Q23" s="80" t="s">
        <v>2927</v>
      </c>
      <c r="R23" s="65">
        <v>2</v>
      </c>
      <c r="S23" s="65">
        <v>7</v>
      </c>
      <c r="T23" s="65" t="s">
        <v>1575</v>
      </c>
      <c r="U23" s="45" t="s">
        <v>33</v>
      </c>
    </row>
    <row r="24" spans="1:21" hidden="1">
      <c r="A24" s="58">
        <v>45</v>
      </c>
      <c r="B24" s="61">
        <v>44110</v>
      </c>
      <c r="C24" s="65" t="s">
        <v>2121</v>
      </c>
      <c r="D24" s="65" t="s">
        <v>2122</v>
      </c>
      <c r="E24" s="66" t="s">
        <v>518</v>
      </c>
      <c r="F24" s="22" t="s">
        <v>1590</v>
      </c>
      <c r="G24" s="22" t="s">
        <v>2930</v>
      </c>
      <c r="H24" s="22" t="s">
        <v>2931</v>
      </c>
      <c r="I24" s="22" t="s">
        <v>2120</v>
      </c>
      <c r="J24" s="22" t="s">
        <v>1790</v>
      </c>
      <c r="K24" s="95" t="s">
        <v>2932</v>
      </c>
      <c r="L24" s="50">
        <v>28</v>
      </c>
      <c r="M24" s="22" t="s">
        <v>2123</v>
      </c>
      <c r="N24" s="22" t="s">
        <v>2266</v>
      </c>
      <c r="O24" s="46" t="str">
        <f>VLOOKUP(N24,Datos!$BJ$5:$BL$334,2,FALSE)</f>
        <v>PROPIEDAD</v>
      </c>
      <c r="P24" s="46" t="str">
        <f>VLOOKUP(N24,Datos!$BJ$5:$BL$334,3,FALSE)</f>
        <v>HURTO</v>
      </c>
      <c r="Q24" s="23" t="s">
        <v>2933</v>
      </c>
      <c r="R24" s="65">
        <v>2</v>
      </c>
      <c r="S24" s="65">
        <v>2</v>
      </c>
      <c r="T24" s="65" t="s">
        <v>1575</v>
      </c>
      <c r="U24" s="45" t="s">
        <v>33</v>
      </c>
    </row>
    <row r="25" spans="1:21" hidden="1">
      <c r="A25" s="58">
        <v>49</v>
      </c>
      <c r="B25" s="61">
        <v>44117</v>
      </c>
      <c r="C25" s="65" t="s">
        <v>2121</v>
      </c>
      <c r="D25" s="65" t="s">
        <v>2122</v>
      </c>
      <c r="E25" s="66" t="s">
        <v>518</v>
      </c>
      <c r="F25" s="22" t="s">
        <v>1590</v>
      </c>
      <c r="G25" s="22" t="s">
        <v>2934</v>
      </c>
      <c r="H25" s="22" t="s">
        <v>2935</v>
      </c>
      <c r="I25" s="22" t="s">
        <v>2120</v>
      </c>
      <c r="J25" s="22" t="s">
        <v>1790</v>
      </c>
      <c r="K25" s="89">
        <v>23961717</v>
      </c>
      <c r="L25" s="81">
        <v>46</v>
      </c>
      <c r="M25" s="22" t="s">
        <v>2123</v>
      </c>
      <c r="N25" s="22" t="s">
        <v>2562</v>
      </c>
      <c r="O25" s="46" t="str">
        <f>VLOOKUP(N25,Datos!$BJ$5:$BL$334,2,FALSE)</f>
        <v>PROPIEDAD</v>
      </c>
      <c r="P25" s="46" t="str">
        <f>VLOOKUP(N25,Datos!$BJ$5:$BL$334,3,FALSE)</f>
        <v>OTROS (C/PROPIEDAD)</v>
      </c>
      <c r="Q25" s="82" t="s">
        <v>2936</v>
      </c>
      <c r="R25" s="89">
        <v>2</v>
      </c>
      <c r="S25" s="89">
        <v>2</v>
      </c>
      <c r="T25" s="81" t="s">
        <v>1575</v>
      </c>
      <c r="U25" s="45" t="s">
        <v>33</v>
      </c>
    </row>
    <row r="26" spans="1:21">
      <c r="A26" s="58">
        <v>50</v>
      </c>
      <c r="B26" s="61">
        <v>44120</v>
      </c>
      <c r="C26" s="65" t="s">
        <v>2121</v>
      </c>
      <c r="D26" s="65" t="s">
        <v>2122</v>
      </c>
      <c r="E26" s="66" t="s">
        <v>518</v>
      </c>
      <c r="F26" s="22" t="s">
        <v>1589</v>
      </c>
      <c r="G26" s="22" t="s">
        <v>2937</v>
      </c>
      <c r="H26" s="22" t="s">
        <v>1658</v>
      </c>
      <c r="I26" s="22" t="s">
        <v>2119</v>
      </c>
      <c r="J26" s="22" t="s">
        <v>1790</v>
      </c>
      <c r="K26" s="89">
        <v>40656008</v>
      </c>
      <c r="L26" s="81">
        <v>22</v>
      </c>
      <c r="M26" s="22" t="s">
        <v>2123</v>
      </c>
      <c r="N26" s="22" t="s">
        <v>2369</v>
      </c>
      <c r="O26" s="46" t="str">
        <f>VLOOKUP(N26,Datos!$BJ$5:$BL$334,2,FALSE)</f>
        <v>LEY 23737</v>
      </c>
      <c r="P26" s="46" t="str">
        <f>VLOOKUP(N26,Datos!$BJ$5:$BL$334,3,FALSE)</f>
        <v>LEY 23737</v>
      </c>
      <c r="Q26" s="82" t="s">
        <v>2938</v>
      </c>
      <c r="R26" s="87" t="s">
        <v>2883</v>
      </c>
      <c r="S26" s="87" t="s">
        <v>2882</v>
      </c>
      <c r="T26" s="65" t="s">
        <v>1575</v>
      </c>
      <c r="U26" s="45" t="s">
        <v>33</v>
      </c>
    </row>
    <row r="27" spans="1:21" hidden="1">
      <c r="A27" s="58">
        <v>51</v>
      </c>
      <c r="B27" s="61">
        <v>44120</v>
      </c>
      <c r="C27" s="65" t="s">
        <v>2121</v>
      </c>
      <c r="D27" s="65" t="s">
        <v>2122</v>
      </c>
      <c r="E27" s="66" t="s">
        <v>518</v>
      </c>
      <c r="F27" s="22" t="s">
        <v>1576</v>
      </c>
      <c r="G27" s="22" t="s">
        <v>1232</v>
      </c>
      <c r="H27" s="22" t="s">
        <v>2939</v>
      </c>
      <c r="I27" s="22" t="s">
        <v>2120</v>
      </c>
      <c r="J27" s="22" t="s">
        <v>1790</v>
      </c>
      <c r="K27" s="91">
        <v>31096283</v>
      </c>
      <c r="L27" s="83">
        <v>35</v>
      </c>
      <c r="M27" s="22" t="s">
        <v>2123</v>
      </c>
      <c r="N27" s="22" t="s">
        <v>2367</v>
      </c>
      <c r="O27" s="46" t="str">
        <f>VLOOKUP(N27,Datos!$BJ$5:$BL$334,2,FALSE)</f>
        <v>OTROS DELITOS</v>
      </c>
      <c r="P27" s="46" t="str">
        <f>VLOOKUP(N27,Datos!$BJ$5:$BL$334,3,FALSE)</f>
        <v>OTROS DELITOS</v>
      </c>
      <c r="Q27" s="80" t="s">
        <v>2940</v>
      </c>
      <c r="R27" s="86" t="s">
        <v>2893</v>
      </c>
      <c r="S27" s="86" t="s">
        <v>2941</v>
      </c>
      <c r="T27" s="65" t="s">
        <v>1575</v>
      </c>
      <c r="U27" s="45" t="s">
        <v>33</v>
      </c>
    </row>
    <row r="28" spans="1:21" hidden="1">
      <c r="A28" s="58">
        <v>54</v>
      </c>
      <c r="B28" s="61">
        <v>44123</v>
      </c>
      <c r="C28" s="65" t="s">
        <v>2121</v>
      </c>
      <c r="D28" s="65" t="s">
        <v>2122</v>
      </c>
      <c r="E28" s="66" t="s">
        <v>518</v>
      </c>
      <c r="F28" s="22" t="s">
        <v>1590</v>
      </c>
      <c r="G28" s="84" t="s">
        <v>2942</v>
      </c>
      <c r="H28" s="84" t="s">
        <v>2943</v>
      </c>
      <c r="I28" s="22" t="s">
        <v>2120</v>
      </c>
      <c r="J28" s="22" t="s">
        <v>1790</v>
      </c>
      <c r="K28" s="91">
        <v>34678332</v>
      </c>
      <c r="L28" s="83">
        <v>31</v>
      </c>
      <c r="M28" s="22" t="s">
        <v>2123</v>
      </c>
      <c r="N28" s="85" t="s">
        <v>2564</v>
      </c>
      <c r="O28" s="46" t="str">
        <f>VLOOKUP(N28,Datos!$BJ$5:$BL$334,2,FALSE)</f>
        <v>PROPIEDAD</v>
      </c>
      <c r="P28" s="46" t="str">
        <f>VLOOKUP(N28,Datos!$BJ$5:$BL$334,3,FALSE)</f>
        <v>OTROS (C/PROPIEDAD)</v>
      </c>
      <c r="Q28" s="23"/>
      <c r="R28" s="86" t="s">
        <v>2893</v>
      </c>
      <c r="S28" s="86" t="s">
        <v>2944</v>
      </c>
      <c r="T28" s="83" t="s">
        <v>1575</v>
      </c>
      <c r="U28" s="45" t="s">
        <v>33</v>
      </c>
    </row>
    <row r="29" spans="1:21">
      <c r="A29" s="58">
        <v>56</v>
      </c>
      <c r="B29" s="61">
        <v>44124</v>
      </c>
      <c r="C29" s="65" t="s">
        <v>2121</v>
      </c>
      <c r="D29" s="65" t="s">
        <v>2122</v>
      </c>
      <c r="E29" s="66" t="s">
        <v>518</v>
      </c>
      <c r="F29" s="22" t="s">
        <v>1589</v>
      </c>
      <c r="G29" s="84" t="s">
        <v>2945</v>
      </c>
      <c r="H29" s="84" t="s">
        <v>2946</v>
      </c>
      <c r="I29" s="22" t="s">
        <v>2119</v>
      </c>
      <c r="J29" s="22" t="s">
        <v>1790</v>
      </c>
      <c r="K29" s="91">
        <v>21972374</v>
      </c>
      <c r="L29" s="83">
        <v>49</v>
      </c>
      <c r="M29" s="22" t="s">
        <v>2123</v>
      </c>
      <c r="N29" s="22" t="s">
        <v>2386</v>
      </c>
      <c r="O29" s="46" t="str">
        <f>VLOOKUP(N29,Datos!$BJ$5:$BL$334,2,FALSE)</f>
        <v>PERSONAS</v>
      </c>
      <c r="P29" s="46" t="str">
        <f>VLOOKUP(N29,Datos!$BJ$5:$BL$334,3,FALSE)</f>
        <v>OTROS (C/LAS PERSONAS)</v>
      </c>
      <c r="Q29" s="23"/>
      <c r="R29" s="65">
        <v>3</v>
      </c>
      <c r="S29" s="65">
        <v>2</v>
      </c>
      <c r="T29" s="65" t="s">
        <v>1575</v>
      </c>
      <c r="U29" s="45" t="s">
        <v>33</v>
      </c>
    </row>
    <row r="30" spans="1:21" hidden="1">
      <c r="A30" s="58">
        <v>57</v>
      </c>
      <c r="B30" s="61">
        <v>44125</v>
      </c>
      <c r="C30" s="65" t="s">
        <v>2121</v>
      </c>
      <c r="D30" s="65" t="s">
        <v>2122</v>
      </c>
      <c r="E30" s="66" t="s">
        <v>518</v>
      </c>
      <c r="F30" s="22" t="s">
        <v>1590</v>
      </c>
      <c r="G30" s="84" t="s">
        <v>2947</v>
      </c>
      <c r="H30" s="84" t="s">
        <v>2948</v>
      </c>
      <c r="I30" s="22" t="s">
        <v>2120</v>
      </c>
      <c r="J30" s="22" t="s">
        <v>1790</v>
      </c>
      <c r="K30" s="91">
        <v>34994790</v>
      </c>
      <c r="L30" s="83">
        <v>30</v>
      </c>
      <c r="M30" s="22" t="s">
        <v>2123</v>
      </c>
      <c r="N30" s="22" t="s">
        <v>2569</v>
      </c>
      <c r="O30" s="46" t="str">
        <f>VLOOKUP(N30,Datos!$BJ$5:$BL$334,2,FALSE)</f>
        <v>PERSONAS</v>
      </c>
      <c r="P30" s="46" t="str">
        <f>VLOOKUP(N30,Datos!$BJ$5:$BL$334,3,FALSE)</f>
        <v>AB ARMA</v>
      </c>
      <c r="Q30" s="80" t="s">
        <v>2949</v>
      </c>
      <c r="R30" s="86" t="s">
        <v>2893</v>
      </c>
      <c r="S30" s="86" t="s">
        <v>2941</v>
      </c>
      <c r="T30" s="83" t="s">
        <v>1575</v>
      </c>
      <c r="U30" s="45" t="s">
        <v>33</v>
      </c>
    </row>
    <row r="31" spans="1:21" hidden="1">
      <c r="A31" s="58">
        <v>58</v>
      </c>
      <c r="B31" s="61">
        <v>44126</v>
      </c>
      <c r="C31" s="65" t="s">
        <v>2121</v>
      </c>
      <c r="D31" s="65" t="s">
        <v>2122</v>
      </c>
      <c r="E31" s="66" t="s">
        <v>518</v>
      </c>
      <c r="F31" s="22" t="s">
        <v>1576</v>
      </c>
      <c r="G31" s="84" t="s">
        <v>2950</v>
      </c>
      <c r="H31" s="84" t="s">
        <v>2951</v>
      </c>
      <c r="I31" s="22" t="s">
        <v>2120</v>
      </c>
      <c r="J31" s="22" t="s">
        <v>1790</v>
      </c>
      <c r="K31" s="91">
        <v>43045944</v>
      </c>
      <c r="L31" s="83">
        <v>20</v>
      </c>
      <c r="M31" s="22" t="s">
        <v>2123</v>
      </c>
      <c r="N31" s="22" t="s">
        <v>2170</v>
      </c>
      <c r="O31" s="46" t="str">
        <f>VLOOKUP(N31,Datos!$BJ$5:$BL$334,2,FALSE)</f>
        <v>PROPIEDAD</v>
      </c>
      <c r="P31" s="46" t="str">
        <f>VLOOKUP(N31,Datos!$BJ$5:$BL$334,3,FALSE)</f>
        <v>OTROS (C/LAS PERSONAS)</v>
      </c>
      <c r="Q31" s="23"/>
      <c r="R31" s="86" t="s">
        <v>2893</v>
      </c>
      <c r="S31" s="86" t="s">
        <v>2944</v>
      </c>
      <c r="T31" s="83" t="s">
        <v>1575</v>
      </c>
      <c r="U31" s="45" t="s">
        <v>33</v>
      </c>
    </row>
    <row r="32" spans="1:21" hidden="1">
      <c r="A32" s="58">
        <v>59</v>
      </c>
      <c r="B32" s="61">
        <v>44139</v>
      </c>
      <c r="C32" s="65" t="s">
        <v>2121</v>
      </c>
      <c r="D32" s="65" t="s">
        <v>2122</v>
      </c>
      <c r="E32" s="66" t="s">
        <v>518</v>
      </c>
      <c r="F32" s="22" t="s">
        <v>1590</v>
      </c>
      <c r="G32" s="22" t="s">
        <v>2952</v>
      </c>
      <c r="H32" s="84" t="s">
        <v>2953</v>
      </c>
      <c r="I32" s="22" t="s">
        <v>2120</v>
      </c>
      <c r="J32" s="22" t="s">
        <v>1790</v>
      </c>
      <c r="K32" s="91">
        <v>29014961</v>
      </c>
      <c r="L32" s="83">
        <v>39</v>
      </c>
      <c r="M32" s="22" t="s">
        <v>2123</v>
      </c>
      <c r="N32" s="22" t="s">
        <v>2171</v>
      </c>
      <c r="O32" s="46" t="str">
        <f>VLOOKUP(N32,Datos!$BJ$5:$BL$334,2,FALSE)</f>
        <v>PROPIEDAD</v>
      </c>
      <c r="P32" s="46" t="str">
        <f>VLOOKUP(N32,Datos!$BJ$5:$BL$334,3,FALSE)</f>
        <v>ROBO</v>
      </c>
      <c r="Q32" s="90" t="s">
        <v>2954</v>
      </c>
      <c r="R32" s="65">
        <v>3</v>
      </c>
      <c r="S32" s="65">
        <v>3</v>
      </c>
      <c r="T32" s="65" t="s">
        <v>1575</v>
      </c>
      <c r="U32" s="45" t="s">
        <v>33</v>
      </c>
    </row>
    <row r="33" spans="1:21" hidden="1">
      <c r="A33" s="58">
        <v>63</v>
      </c>
      <c r="B33" s="61">
        <v>44145</v>
      </c>
      <c r="C33" s="65" t="s">
        <v>2121</v>
      </c>
      <c r="D33" s="65" t="s">
        <v>2122</v>
      </c>
      <c r="E33" s="66" t="s">
        <v>518</v>
      </c>
      <c r="F33" s="22" t="s">
        <v>1590</v>
      </c>
      <c r="G33" s="88" t="s">
        <v>2955</v>
      </c>
      <c r="H33" s="88" t="s">
        <v>2956</v>
      </c>
      <c r="I33" s="22" t="s">
        <v>2120</v>
      </c>
      <c r="J33" s="22" t="s">
        <v>1790</v>
      </c>
      <c r="K33" s="91">
        <v>27766114</v>
      </c>
      <c r="L33" s="83">
        <v>41</v>
      </c>
      <c r="M33" s="22" t="s">
        <v>2123</v>
      </c>
      <c r="N33" s="22" t="s">
        <v>2564</v>
      </c>
      <c r="O33" s="46" t="str">
        <f>VLOOKUP(N33,Datos!$BJ$5:$BL$334,2,FALSE)</f>
        <v>PROPIEDAD</v>
      </c>
      <c r="P33" s="46" t="str">
        <f>VLOOKUP(N33,Datos!$BJ$5:$BL$334,3,FALSE)</f>
        <v>OTROS (C/PROPIEDAD)</v>
      </c>
      <c r="Q33" s="23"/>
      <c r="R33" s="86" t="s">
        <v>2882</v>
      </c>
      <c r="S33" s="86" t="s">
        <v>2901</v>
      </c>
      <c r="T33" s="83" t="s">
        <v>1575</v>
      </c>
      <c r="U33" s="45" t="s">
        <v>33</v>
      </c>
    </row>
    <row r="34" spans="1:21" hidden="1">
      <c r="A34" s="58">
        <v>66</v>
      </c>
      <c r="B34" s="61">
        <v>44148</v>
      </c>
      <c r="C34" s="65" t="s">
        <v>2121</v>
      </c>
      <c r="D34" s="65" t="s">
        <v>2122</v>
      </c>
      <c r="E34" s="66" t="s">
        <v>518</v>
      </c>
      <c r="F34" s="22" t="s">
        <v>1590</v>
      </c>
      <c r="G34" s="88" t="s">
        <v>2958</v>
      </c>
      <c r="H34" s="88" t="s">
        <v>2959</v>
      </c>
      <c r="I34" s="22" t="s">
        <v>2120</v>
      </c>
      <c r="J34" s="22" t="s">
        <v>1790</v>
      </c>
      <c r="K34" s="91">
        <v>34995065</v>
      </c>
      <c r="L34" s="83">
        <v>30</v>
      </c>
      <c r="M34" s="22" t="s">
        <v>2123</v>
      </c>
      <c r="N34" s="22" t="s">
        <v>2509</v>
      </c>
      <c r="O34" s="46" t="str">
        <f>VLOOKUP(N34,Datos!$BJ$5:$BL$334,2,FALSE)</f>
        <v>PERSONAS</v>
      </c>
      <c r="P34" s="46" t="str">
        <f>VLOOKUP(N34,Datos!$BJ$5:$BL$334,3,FALSE)</f>
        <v>OTROS (C/LAS PERSONAS)</v>
      </c>
      <c r="Q34" s="80" t="s">
        <v>2960</v>
      </c>
      <c r="R34" s="65">
        <v>2</v>
      </c>
      <c r="S34" s="65">
        <v>3</v>
      </c>
      <c r="T34" s="65" t="s">
        <v>1575</v>
      </c>
      <c r="U34" s="45" t="s">
        <v>2892</v>
      </c>
    </row>
    <row r="35" spans="1:21" hidden="1">
      <c r="A35" s="58">
        <v>68</v>
      </c>
      <c r="B35" s="61">
        <v>44152</v>
      </c>
      <c r="C35" s="65" t="s">
        <v>2121</v>
      </c>
      <c r="D35" s="65" t="s">
        <v>2122</v>
      </c>
      <c r="E35" s="66" t="s">
        <v>518</v>
      </c>
      <c r="F35" s="22" t="s">
        <v>1590</v>
      </c>
      <c r="G35" s="88" t="s">
        <v>2961</v>
      </c>
      <c r="H35" s="88" t="s">
        <v>2963</v>
      </c>
      <c r="I35" s="22" t="s">
        <v>2120</v>
      </c>
      <c r="J35" s="22" t="s">
        <v>1790</v>
      </c>
      <c r="K35" s="95" t="s">
        <v>2965</v>
      </c>
      <c r="L35" s="50">
        <v>31</v>
      </c>
      <c r="M35" s="22" t="s">
        <v>2123</v>
      </c>
      <c r="N35" s="22" t="s">
        <v>2171</v>
      </c>
      <c r="O35" s="46" t="str">
        <f>VLOOKUP(N35,Datos!$BJ$5:$BL$334,2,FALSE)</f>
        <v>PROPIEDAD</v>
      </c>
      <c r="P35" s="46" t="str">
        <f>VLOOKUP(N35,Datos!$BJ$5:$BL$334,3,FALSE)</f>
        <v>ROBO</v>
      </c>
      <c r="Q35" s="23" t="s">
        <v>2966</v>
      </c>
      <c r="R35" s="65">
        <v>1</v>
      </c>
      <c r="S35" s="65">
        <v>3</v>
      </c>
      <c r="T35" s="65" t="s">
        <v>1575</v>
      </c>
      <c r="U35" s="45" t="s">
        <v>33</v>
      </c>
    </row>
    <row r="36" spans="1:21" hidden="1">
      <c r="A36" s="58">
        <v>69</v>
      </c>
      <c r="B36" s="61">
        <v>44152</v>
      </c>
      <c r="C36" s="65" t="s">
        <v>2122</v>
      </c>
      <c r="D36" s="65" t="s">
        <v>2121</v>
      </c>
      <c r="E36" s="66" t="s">
        <v>518</v>
      </c>
      <c r="F36" s="22" t="s">
        <v>1590</v>
      </c>
      <c r="G36" s="22" t="s">
        <v>2962</v>
      </c>
      <c r="H36" s="22" t="s">
        <v>2964</v>
      </c>
      <c r="I36" s="22" t="s">
        <v>2120</v>
      </c>
      <c r="J36" s="22" t="s">
        <v>1790</v>
      </c>
      <c r="K36" s="95" t="s">
        <v>2967</v>
      </c>
      <c r="L36" s="50">
        <v>24</v>
      </c>
      <c r="M36" s="22" t="s">
        <v>2123</v>
      </c>
      <c r="N36" s="22" t="s">
        <v>2567</v>
      </c>
      <c r="O36" s="46" t="str">
        <f>VLOOKUP(N36,Datos!$BJ$5:$BL$334,2,FALSE)</f>
        <v>SEGURIDAD PÚBLICA</v>
      </c>
      <c r="P36" s="46" t="str">
        <f>VLOOKUP(N36,Datos!$BJ$5:$BL$334,3,FALSE)</f>
        <v>TENENCIA ARMA</v>
      </c>
      <c r="Q36" s="23" t="s">
        <v>2968</v>
      </c>
      <c r="R36" s="65">
        <v>1</v>
      </c>
      <c r="S36" s="65">
        <v>8</v>
      </c>
      <c r="T36" s="65" t="s">
        <v>1575</v>
      </c>
      <c r="U36" s="45" t="s">
        <v>2892</v>
      </c>
    </row>
    <row r="37" spans="1:21" hidden="1">
      <c r="A37" s="58">
        <v>70</v>
      </c>
      <c r="B37" s="61">
        <v>44154</v>
      </c>
      <c r="C37" s="65" t="s">
        <v>2121</v>
      </c>
      <c r="D37" s="65" t="s">
        <v>2122</v>
      </c>
      <c r="E37" s="66" t="s">
        <v>518</v>
      </c>
      <c r="F37" s="22" t="s">
        <v>1590</v>
      </c>
      <c r="G37" s="22" t="s">
        <v>2969</v>
      </c>
      <c r="H37" s="22" t="s">
        <v>2970</v>
      </c>
      <c r="I37" s="22" t="s">
        <v>2120</v>
      </c>
      <c r="J37" s="22" t="s">
        <v>1790</v>
      </c>
      <c r="K37" s="95" t="s">
        <v>2971</v>
      </c>
      <c r="L37" s="50">
        <v>24</v>
      </c>
      <c r="M37" s="22" t="s">
        <v>2123</v>
      </c>
      <c r="N37" s="22" t="s">
        <v>2569</v>
      </c>
      <c r="O37" s="46" t="str">
        <f>VLOOKUP(N37,Datos!$BJ$5:$BL$334,2,FALSE)</f>
        <v>PERSONAS</v>
      </c>
      <c r="P37" s="46" t="str">
        <f>VLOOKUP(N37,Datos!$BJ$5:$BL$334,3,FALSE)</f>
        <v>AB ARMA</v>
      </c>
      <c r="Q37" s="23" t="s">
        <v>2949</v>
      </c>
      <c r="R37" s="65">
        <v>3</v>
      </c>
      <c r="S37" s="65">
        <v>5</v>
      </c>
      <c r="T37" s="65" t="s">
        <v>1575</v>
      </c>
      <c r="U37" s="45" t="s">
        <v>33</v>
      </c>
    </row>
    <row r="38" spans="1:21" hidden="1">
      <c r="A38" s="58">
        <v>73</v>
      </c>
      <c r="B38" s="61">
        <v>44155</v>
      </c>
      <c r="C38" s="65" t="s">
        <v>2121</v>
      </c>
      <c r="D38" s="65" t="s">
        <v>2122</v>
      </c>
      <c r="E38" s="66" t="s">
        <v>518</v>
      </c>
      <c r="F38" s="22" t="s">
        <v>1590</v>
      </c>
      <c r="G38" s="22" t="s">
        <v>2972</v>
      </c>
      <c r="H38" s="22" t="s">
        <v>2973</v>
      </c>
      <c r="I38" s="22" t="s">
        <v>2120</v>
      </c>
      <c r="J38" s="22" t="s">
        <v>1790</v>
      </c>
      <c r="K38" s="95">
        <v>41025186</v>
      </c>
      <c r="L38" s="50">
        <v>22</v>
      </c>
      <c r="M38" s="22" t="s">
        <v>2123</v>
      </c>
      <c r="N38" s="22" t="s">
        <v>2518</v>
      </c>
      <c r="O38" s="46" t="str">
        <f>VLOOKUP(N38,Datos!$BJ$5:$BL$334,2,FALSE)</f>
        <v>PERSONAS</v>
      </c>
      <c r="P38" s="46" t="str">
        <f>VLOOKUP(N38,Datos!$BJ$5:$BL$334,3,FALSE)</f>
        <v>LESIONES</v>
      </c>
      <c r="Q38" s="23" t="s">
        <v>2975</v>
      </c>
      <c r="R38" s="65" t="s">
        <v>2883</v>
      </c>
      <c r="S38" s="65" t="s">
        <v>2974</v>
      </c>
      <c r="T38" s="65" t="s">
        <v>1575</v>
      </c>
      <c r="U38" s="45" t="s">
        <v>33</v>
      </c>
    </row>
    <row r="39" spans="1:21" hidden="1">
      <c r="A39" s="58">
        <v>80</v>
      </c>
      <c r="B39" s="61">
        <v>44169</v>
      </c>
      <c r="C39" s="65" t="s">
        <v>2121</v>
      </c>
      <c r="D39" s="65" t="s">
        <v>2122</v>
      </c>
      <c r="E39" s="66" t="s">
        <v>518</v>
      </c>
      <c r="F39" s="22" t="s">
        <v>1590</v>
      </c>
      <c r="G39" s="88" t="s">
        <v>956</v>
      </c>
      <c r="H39" s="84" t="s">
        <v>2977</v>
      </c>
      <c r="I39" s="22" t="s">
        <v>2120</v>
      </c>
      <c r="J39" s="22" t="s">
        <v>1790</v>
      </c>
      <c r="K39" s="89">
        <v>42541734</v>
      </c>
      <c r="L39" s="83">
        <v>20</v>
      </c>
      <c r="M39" s="22" t="s">
        <v>2123</v>
      </c>
      <c r="N39" s="85" t="s">
        <v>2171</v>
      </c>
      <c r="O39" s="46" t="str">
        <f>VLOOKUP(N39,Datos!$BJ$5:$BL$334,2,FALSE)</f>
        <v>PROPIEDAD</v>
      </c>
      <c r="P39" s="46" t="str">
        <f>VLOOKUP(N39,Datos!$BJ$5:$BL$334,3,FALSE)</f>
        <v>ROBO</v>
      </c>
      <c r="Q39" s="82" t="s">
        <v>2979</v>
      </c>
      <c r="R39" s="86" t="s">
        <v>2893</v>
      </c>
      <c r="S39" s="86" t="s">
        <v>2901</v>
      </c>
      <c r="T39" s="65" t="s">
        <v>1575</v>
      </c>
      <c r="U39" s="45" t="s">
        <v>33</v>
      </c>
    </row>
    <row r="40" spans="1:21" hidden="1">
      <c r="A40" s="58">
        <v>81</v>
      </c>
      <c r="B40" s="61">
        <v>44169</v>
      </c>
      <c r="C40" s="65" t="s">
        <v>2121</v>
      </c>
      <c r="D40" s="65" t="s">
        <v>2122</v>
      </c>
      <c r="E40" s="66" t="s">
        <v>518</v>
      </c>
      <c r="F40" s="22" t="s">
        <v>1590</v>
      </c>
      <c r="G40" s="88" t="s">
        <v>2976</v>
      </c>
      <c r="H40" s="84" t="s">
        <v>2978</v>
      </c>
      <c r="I40" s="22" t="s">
        <v>2120</v>
      </c>
      <c r="J40" s="22" t="s">
        <v>1790</v>
      </c>
      <c r="K40" s="91">
        <v>42778672</v>
      </c>
      <c r="L40" s="83">
        <v>20</v>
      </c>
      <c r="M40" s="22" t="s">
        <v>2123</v>
      </c>
      <c r="N40" s="85" t="s">
        <v>2527</v>
      </c>
      <c r="O40" s="46" t="str">
        <f>VLOOKUP(N40,Datos!$BJ$5:$BL$334,2,FALSE)</f>
        <v>LIBERTAD</v>
      </c>
      <c r="P40" s="46" t="str">
        <f>VLOOKUP(N40,Datos!$BJ$5:$BL$334,3,FALSE)</f>
        <v>VIOLACION DE DOMICILIO</v>
      </c>
      <c r="Q40" s="80" t="s">
        <v>2980</v>
      </c>
      <c r="R40" s="86" t="s">
        <v>2883</v>
      </c>
      <c r="S40" s="86" t="s">
        <v>2883</v>
      </c>
      <c r="T40" s="65" t="s">
        <v>1575</v>
      </c>
      <c r="U40" s="45" t="s">
        <v>33</v>
      </c>
    </row>
    <row r="41" spans="1:21" hidden="1">
      <c r="A41" s="58">
        <v>82</v>
      </c>
      <c r="B41" s="61">
        <v>44179</v>
      </c>
      <c r="C41" s="65" t="s">
        <v>2121</v>
      </c>
      <c r="D41" s="65" t="s">
        <v>2122</v>
      </c>
      <c r="E41" s="66" t="s">
        <v>518</v>
      </c>
      <c r="F41" s="22" t="s">
        <v>1590</v>
      </c>
      <c r="G41" s="22" t="s">
        <v>2981</v>
      </c>
      <c r="H41" s="22" t="s">
        <v>2982</v>
      </c>
      <c r="I41" s="22" t="s">
        <v>2120</v>
      </c>
      <c r="J41" s="22" t="s">
        <v>1790</v>
      </c>
      <c r="K41" s="95">
        <v>41325111</v>
      </c>
      <c r="L41" s="50">
        <v>21</v>
      </c>
      <c r="M41" s="22" t="s">
        <v>2123</v>
      </c>
      <c r="N41" s="22" t="s">
        <v>2599</v>
      </c>
      <c r="O41" s="46" t="s">
        <v>2169</v>
      </c>
      <c r="P41" s="46" t="s">
        <v>2558</v>
      </c>
      <c r="Q41" s="23" t="s">
        <v>2983</v>
      </c>
      <c r="R41" s="65" t="s">
        <v>2882</v>
      </c>
      <c r="S41" s="65" t="s">
        <v>2882</v>
      </c>
      <c r="T41" s="65" t="s">
        <v>1575</v>
      </c>
      <c r="U41" s="45" t="s">
        <v>33</v>
      </c>
    </row>
    <row r="42" spans="1:21" hidden="1">
      <c r="A42" s="58">
        <v>87</v>
      </c>
      <c r="B42" s="61">
        <v>44181</v>
      </c>
      <c r="C42" s="65" t="s">
        <v>2121</v>
      </c>
      <c r="D42" s="65" t="s">
        <v>2122</v>
      </c>
      <c r="E42" s="66" t="s">
        <v>518</v>
      </c>
      <c r="F42" s="22" t="s">
        <v>1590</v>
      </c>
      <c r="G42" s="22" t="s">
        <v>2984</v>
      </c>
      <c r="H42" s="22" t="s">
        <v>2985</v>
      </c>
      <c r="I42" s="22" t="s">
        <v>2120</v>
      </c>
      <c r="J42" s="22" t="s">
        <v>1790</v>
      </c>
      <c r="K42" s="95" t="s">
        <v>2986</v>
      </c>
      <c r="L42" s="50">
        <v>24</v>
      </c>
      <c r="M42" s="22" t="s">
        <v>2123</v>
      </c>
      <c r="N42" s="22" t="s">
        <v>2515</v>
      </c>
      <c r="O42" s="46" t="s">
        <v>2163</v>
      </c>
      <c r="P42" s="46" t="s">
        <v>2163</v>
      </c>
      <c r="Q42" s="23" t="s">
        <v>2987</v>
      </c>
      <c r="R42" s="65">
        <v>2</v>
      </c>
      <c r="S42" s="65">
        <v>7</v>
      </c>
      <c r="T42" s="65" t="s">
        <v>1575</v>
      </c>
      <c r="U42" s="45" t="s">
        <v>33</v>
      </c>
    </row>
    <row r="43" spans="1:21" hidden="1">
      <c r="A43" s="58">
        <v>88</v>
      </c>
      <c r="B43" s="61">
        <v>44182</v>
      </c>
      <c r="C43" s="65" t="s">
        <v>2121</v>
      </c>
      <c r="D43" s="65" t="s">
        <v>2122</v>
      </c>
      <c r="E43" s="66" t="s">
        <v>518</v>
      </c>
      <c r="F43" s="22" t="s">
        <v>1590</v>
      </c>
      <c r="G43" s="22" t="s">
        <v>2988</v>
      </c>
      <c r="H43" s="22" t="s">
        <v>2989</v>
      </c>
      <c r="I43" s="22" t="s">
        <v>2120</v>
      </c>
      <c r="J43" s="22" t="s">
        <v>1790</v>
      </c>
      <c r="K43" s="95">
        <v>34265542</v>
      </c>
      <c r="L43" s="50">
        <v>32</v>
      </c>
      <c r="M43" s="22" t="s">
        <v>2123</v>
      </c>
      <c r="N43" s="22" t="s">
        <v>2170</v>
      </c>
      <c r="O43" s="46" t="s">
        <v>2169</v>
      </c>
      <c r="P43" s="46" t="s">
        <v>2161</v>
      </c>
      <c r="Q43" s="23" t="s">
        <v>2990</v>
      </c>
      <c r="R43" s="65" t="s">
        <v>2893</v>
      </c>
      <c r="S43" s="65" t="s">
        <v>2893</v>
      </c>
      <c r="T43" s="65" t="s">
        <v>1575</v>
      </c>
      <c r="U43" s="45" t="s">
        <v>33</v>
      </c>
    </row>
    <row r="44" spans="1:21">
      <c r="A44" s="58">
        <v>91</v>
      </c>
      <c r="B44" s="61">
        <v>44182</v>
      </c>
      <c r="C44" s="65" t="s">
        <v>2121</v>
      </c>
      <c r="D44" s="65" t="s">
        <v>2122</v>
      </c>
      <c r="E44" s="66" t="s">
        <v>518</v>
      </c>
      <c r="F44" s="22" t="s">
        <v>1589</v>
      </c>
      <c r="G44" s="22" t="s">
        <v>2991</v>
      </c>
      <c r="H44" s="22" t="s">
        <v>2992</v>
      </c>
      <c r="I44" s="22" t="s">
        <v>2119</v>
      </c>
      <c r="J44" s="22" t="s">
        <v>1790</v>
      </c>
      <c r="K44" s="95" t="s">
        <v>2993</v>
      </c>
      <c r="L44" s="50">
        <v>19</v>
      </c>
      <c r="M44" s="22" t="s">
        <v>2123</v>
      </c>
      <c r="N44" s="22" t="s">
        <v>2994</v>
      </c>
      <c r="O44" s="46" t="s">
        <v>2169</v>
      </c>
      <c r="P44" s="46" t="s">
        <v>2995</v>
      </c>
      <c r="Q44" s="23" t="s">
        <v>2996</v>
      </c>
      <c r="R44" s="65">
        <v>2</v>
      </c>
      <c r="S44" s="65">
        <v>2</v>
      </c>
      <c r="T44" s="65" t="s">
        <v>1575</v>
      </c>
      <c r="U44" s="45" t="s">
        <v>33</v>
      </c>
    </row>
    <row r="45" spans="1:21" hidden="1">
      <c r="A45" s="58">
        <v>92</v>
      </c>
      <c r="B45" s="61">
        <v>44183</v>
      </c>
      <c r="C45" s="65" t="s">
        <v>2121</v>
      </c>
      <c r="D45" s="65" t="s">
        <v>2122</v>
      </c>
      <c r="E45" s="66" t="s">
        <v>518</v>
      </c>
      <c r="F45" s="22" t="s">
        <v>1590</v>
      </c>
      <c r="G45" s="22" t="s">
        <v>956</v>
      </c>
      <c r="H45" s="22" t="s">
        <v>2997</v>
      </c>
      <c r="I45" s="22" t="s">
        <v>2120</v>
      </c>
      <c r="J45" s="22" t="s">
        <v>1790</v>
      </c>
      <c r="K45" s="95">
        <v>39981534</v>
      </c>
      <c r="L45" s="50">
        <v>24</v>
      </c>
      <c r="M45" s="22" t="s">
        <v>2123</v>
      </c>
      <c r="N45" s="22" t="s">
        <v>2520</v>
      </c>
      <c r="O45" s="46" t="s">
        <v>2169</v>
      </c>
      <c r="P45" s="46" t="s">
        <v>2171</v>
      </c>
      <c r="Q45" s="23" t="s">
        <v>2998</v>
      </c>
      <c r="R45" s="65" t="s">
        <v>2883</v>
      </c>
      <c r="S45" s="65" t="s">
        <v>2882</v>
      </c>
      <c r="T45" s="65" t="s">
        <v>1575</v>
      </c>
      <c r="U45" s="45" t="s">
        <v>33</v>
      </c>
    </row>
    <row r="46" spans="1:21">
      <c r="A46" s="58">
        <v>95</v>
      </c>
      <c r="B46" s="61">
        <v>44186</v>
      </c>
      <c r="C46" s="65" t="s">
        <v>2121</v>
      </c>
      <c r="D46" s="65" t="s">
        <v>2122</v>
      </c>
      <c r="E46" s="66" t="s">
        <v>518</v>
      </c>
      <c r="F46" s="22" t="s">
        <v>1589</v>
      </c>
      <c r="G46" s="22" t="s">
        <v>2999</v>
      </c>
      <c r="H46" s="22" t="s">
        <v>3000</v>
      </c>
      <c r="I46" s="22" t="s">
        <v>2119</v>
      </c>
      <c r="J46" s="22" t="s">
        <v>1790</v>
      </c>
      <c r="K46" s="91">
        <v>40542785</v>
      </c>
      <c r="L46" s="50">
        <v>23</v>
      </c>
      <c r="M46" s="22" t="s">
        <v>2123</v>
      </c>
      <c r="N46" s="22" t="s">
        <v>2366</v>
      </c>
      <c r="O46" s="46" t="str">
        <f>VLOOKUP(N46,Datos!$BJ$5:$BL$334,2,FALSE)</f>
        <v>LIBERTAD</v>
      </c>
      <c r="P46" s="46" t="str">
        <f>VLOOKUP(N46,Datos!$BJ$5:$BL$334,3,FALSE)</f>
        <v>A R AUTORIDAD</v>
      </c>
      <c r="Q46" s="80" t="s">
        <v>3001</v>
      </c>
      <c r="R46" s="65">
        <v>1</v>
      </c>
      <c r="S46" s="65">
        <v>1</v>
      </c>
      <c r="T46" s="65" t="s">
        <v>2151</v>
      </c>
      <c r="U46" s="45" t="s">
        <v>33</v>
      </c>
    </row>
    <row r="47" spans="1:21" hidden="1">
      <c r="A47" s="58">
        <v>99</v>
      </c>
      <c r="B47" s="61">
        <v>44188</v>
      </c>
      <c r="C47" s="65" t="s">
        <v>2121</v>
      </c>
      <c r="D47" s="65" t="s">
        <v>2122</v>
      </c>
      <c r="E47" s="66" t="s">
        <v>518</v>
      </c>
      <c r="F47" s="22" t="s">
        <v>1590</v>
      </c>
      <c r="G47" s="22" t="s">
        <v>3002</v>
      </c>
      <c r="H47" s="22" t="s">
        <v>3004</v>
      </c>
      <c r="I47" s="22" t="s">
        <v>2120</v>
      </c>
      <c r="J47" s="22" t="s">
        <v>1790</v>
      </c>
      <c r="K47" s="91">
        <v>47400491</v>
      </c>
      <c r="L47" s="83">
        <v>20</v>
      </c>
      <c r="M47" s="22" t="s">
        <v>2123</v>
      </c>
      <c r="N47" s="22" t="s">
        <v>2520</v>
      </c>
      <c r="O47" s="46" t="str">
        <f>VLOOKUP(N47,Datos!$BJ$5:$BL$334,2,FALSE)</f>
        <v>PROPIEDAD</v>
      </c>
      <c r="P47" s="46" t="str">
        <f>VLOOKUP(N47,Datos!$BJ$5:$BL$334,3,FALSE)</f>
        <v>ROBO</v>
      </c>
      <c r="Q47" s="80" t="s">
        <v>3005</v>
      </c>
      <c r="R47" s="86" t="s">
        <v>3006</v>
      </c>
      <c r="S47" s="86" t="s">
        <v>3007</v>
      </c>
      <c r="T47" s="65" t="s">
        <v>1575</v>
      </c>
      <c r="U47" s="45" t="s">
        <v>33</v>
      </c>
    </row>
    <row r="48" spans="1:21" hidden="1">
      <c r="A48" s="58">
        <v>100</v>
      </c>
      <c r="B48" s="61">
        <v>44188</v>
      </c>
      <c r="C48" s="65" t="s">
        <v>2121</v>
      </c>
      <c r="D48" s="65" t="s">
        <v>2122</v>
      </c>
      <c r="E48" s="66" t="s">
        <v>518</v>
      </c>
      <c r="F48" s="22" t="s">
        <v>1590</v>
      </c>
      <c r="G48" s="22" t="s">
        <v>2864</v>
      </c>
      <c r="H48" s="22" t="s">
        <v>3003</v>
      </c>
      <c r="I48" s="22" t="s">
        <v>2120</v>
      </c>
      <c r="J48" s="22" t="s">
        <v>1790</v>
      </c>
      <c r="K48" s="91">
        <v>39663365</v>
      </c>
      <c r="L48" s="83">
        <v>24</v>
      </c>
      <c r="M48" s="22" t="s">
        <v>2123</v>
      </c>
      <c r="N48" s="22" t="s">
        <v>2266</v>
      </c>
      <c r="O48" s="46" t="str">
        <f>VLOOKUP(N48,Datos!$BJ$5:$BL$334,2,FALSE)</f>
        <v>PROPIEDAD</v>
      </c>
      <c r="P48" s="46" t="str">
        <f>VLOOKUP(N48,Datos!$BJ$5:$BL$334,3,FALSE)</f>
        <v>HURTO</v>
      </c>
      <c r="Q48" s="80" t="s">
        <v>3008</v>
      </c>
      <c r="R48" s="86" t="s">
        <v>2883</v>
      </c>
      <c r="S48" s="86" t="s">
        <v>2944</v>
      </c>
      <c r="T48" s="65" t="s">
        <v>1575</v>
      </c>
      <c r="U48" s="45" t="s">
        <v>33</v>
      </c>
    </row>
    <row r="49" spans="1:21" hidden="1">
      <c r="A49" s="58">
        <v>104</v>
      </c>
      <c r="B49" s="61">
        <v>44190</v>
      </c>
      <c r="C49" s="65" t="s">
        <v>2121</v>
      </c>
      <c r="D49" s="65" t="s">
        <v>2122</v>
      </c>
      <c r="E49" s="66" t="s">
        <v>518</v>
      </c>
      <c r="F49" s="22" t="s">
        <v>1590</v>
      </c>
      <c r="G49" s="22" t="s">
        <v>3009</v>
      </c>
      <c r="H49" s="22" t="s">
        <v>3010</v>
      </c>
      <c r="I49" s="22" t="s">
        <v>2120</v>
      </c>
      <c r="J49" s="22" t="s">
        <v>1790</v>
      </c>
      <c r="K49" s="91">
        <v>41767986</v>
      </c>
      <c r="L49" s="83">
        <v>21</v>
      </c>
      <c r="M49" s="22" t="s">
        <v>2123</v>
      </c>
      <c r="N49" s="22" t="s">
        <v>2527</v>
      </c>
      <c r="O49" s="46" t="str">
        <f>VLOOKUP(N49,Datos!$BJ$5:$BL$334,2,FALSE)</f>
        <v>LIBERTAD</v>
      </c>
      <c r="P49" s="46" t="str">
        <f>VLOOKUP(N49,Datos!$BJ$5:$BL$334,3,FALSE)</f>
        <v>VIOLACION DE DOMICILIO</v>
      </c>
      <c r="Q49" s="80" t="s">
        <v>3011</v>
      </c>
      <c r="R49" s="65">
        <v>2</v>
      </c>
      <c r="S49" s="65">
        <v>7</v>
      </c>
      <c r="T49" s="65" t="s">
        <v>1575</v>
      </c>
      <c r="U49" s="45" t="s">
        <v>33</v>
      </c>
    </row>
    <row r="50" spans="1:21" hidden="1">
      <c r="A50" s="58">
        <v>105</v>
      </c>
      <c r="B50" s="61">
        <v>44191</v>
      </c>
      <c r="C50" s="65" t="s">
        <v>2121</v>
      </c>
      <c r="D50" s="65" t="s">
        <v>2122</v>
      </c>
      <c r="E50" s="66" t="s">
        <v>518</v>
      </c>
      <c r="F50" s="22" t="s">
        <v>1590</v>
      </c>
      <c r="G50" s="22" t="s">
        <v>3012</v>
      </c>
      <c r="H50" s="22" t="s">
        <v>3013</v>
      </c>
      <c r="I50" s="22" t="s">
        <v>2120</v>
      </c>
      <c r="J50" s="22" t="s">
        <v>1790</v>
      </c>
      <c r="K50" s="95" t="s">
        <v>3023</v>
      </c>
      <c r="L50" s="50">
        <v>22</v>
      </c>
      <c r="M50" s="22" t="s">
        <v>2123</v>
      </c>
      <c r="N50" s="22" t="s">
        <v>2518</v>
      </c>
      <c r="O50" s="46" t="str">
        <f>VLOOKUP(N50,Datos!$BJ$5:$BL$334,2,FALSE)</f>
        <v>PERSONAS</v>
      </c>
      <c r="P50" s="46" t="str">
        <f>VLOOKUP(N50,Datos!$BJ$5:$BL$334,3,FALSE)</f>
        <v>LESIONES</v>
      </c>
      <c r="Q50" s="23" t="s">
        <v>3014</v>
      </c>
      <c r="R50" s="65">
        <v>2</v>
      </c>
      <c r="S50" s="65">
        <v>7</v>
      </c>
      <c r="T50" s="65" t="s">
        <v>1575</v>
      </c>
      <c r="U50" s="45" t="s">
        <v>33</v>
      </c>
    </row>
    <row r="51" spans="1:21" hidden="1">
      <c r="A51" s="58">
        <v>106</v>
      </c>
      <c r="B51" s="61">
        <v>44191</v>
      </c>
      <c r="C51" s="65" t="s">
        <v>2121</v>
      </c>
      <c r="D51" s="65" t="s">
        <v>2122</v>
      </c>
      <c r="E51" s="66" t="s">
        <v>518</v>
      </c>
      <c r="F51" s="22" t="s">
        <v>1590</v>
      </c>
      <c r="G51" s="22" t="s">
        <v>3015</v>
      </c>
      <c r="H51" s="22" t="s">
        <v>3016</v>
      </c>
      <c r="I51" s="22" t="s">
        <v>2120</v>
      </c>
      <c r="J51" s="22" t="s">
        <v>1790</v>
      </c>
      <c r="K51" s="95" t="s">
        <v>3025</v>
      </c>
      <c r="L51" s="50">
        <v>20</v>
      </c>
      <c r="M51" s="22" t="s">
        <v>2123</v>
      </c>
      <c r="N51" s="22" t="s">
        <v>2391</v>
      </c>
      <c r="O51" s="46" t="str">
        <f>VLOOKUP(N51,Datos!$BJ$5:$BL$334,2,FALSE)</f>
        <v>OTROS DELITOS</v>
      </c>
      <c r="P51" s="46" t="str">
        <f>VLOOKUP(N51,Datos!$BJ$5:$BL$334,3,FALSE)</f>
        <v>OTROS DELITOS</v>
      </c>
      <c r="Q51" s="23"/>
      <c r="R51" s="65">
        <v>2</v>
      </c>
      <c r="S51" s="65">
        <v>7</v>
      </c>
      <c r="T51" s="65" t="s">
        <v>1575</v>
      </c>
      <c r="U51" s="45" t="s">
        <v>33</v>
      </c>
    </row>
    <row r="52" spans="1:21" hidden="1">
      <c r="A52" s="58">
        <v>107</v>
      </c>
      <c r="B52" s="61">
        <v>44191</v>
      </c>
      <c r="C52" s="65" t="s">
        <v>2121</v>
      </c>
      <c r="D52" s="65" t="s">
        <v>2122</v>
      </c>
      <c r="E52" s="66" t="s">
        <v>518</v>
      </c>
      <c r="F52" s="22" t="s">
        <v>1590</v>
      </c>
      <c r="G52" s="22" t="s">
        <v>3017</v>
      </c>
      <c r="H52" s="22" t="s">
        <v>3018</v>
      </c>
      <c r="I52" s="22" t="s">
        <v>2120</v>
      </c>
      <c r="J52" s="22" t="s">
        <v>1790</v>
      </c>
      <c r="K52" s="95" t="s">
        <v>3024</v>
      </c>
      <c r="L52" s="50">
        <v>27</v>
      </c>
      <c r="M52" s="22" t="s">
        <v>2123</v>
      </c>
      <c r="N52" s="22" t="s">
        <v>2386</v>
      </c>
      <c r="O52" s="46" t="str">
        <f>VLOOKUP(N52,Datos!$BJ$5:$BL$334,2,FALSE)</f>
        <v>PERSONAS</v>
      </c>
      <c r="P52" s="46" t="str">
        <f>VLOOKUP(N52,Datos!$BJ$5:$BL$334,3,FALSE)</f>
        <v>OTROS (C/LAS PERSONAS)</v>
      </c>
      <c r="Q52" s="23" t="s">
        <v>3019</v>
      </c>
      <c r="R52" s="65">
        <v>2</v>
      </c>
      <c r="S52" s="65">
        <v>7</v>
      </c>
      <c r="T52" s="65" t="s">
        <v>1575</v>
      </c>
      <c r="U52" s="45" t="s">
        <v>33</v>
      </c>
    </row>
    <row r="53" spans="1:21" hidden="1">
      <c r="A53" s="58">
        <v>108</v>
      </c>
      <c r="B53" s="61">
        <v>44191</v>
      </c>
      <c r="C53" s="65" t="s">
        <v>2121</v>
      </c>
      <c r="D53" s="65" t="s">
        <v>2122</v>
      </c>
      <c r="E53" s="66" t="s">
        <v>518</v>
      </c>
      <c r="F53" s="22" t="s">
        <v>1590</v>
      </c>
      <c r="G53" s="22" t="s">
        <v>3020</v>
      </c>
      <c r="H53" s="22" t="s">
        <v>3021</v>
      </c>
      <c r="I53" s="22" t="s">
        <v>2120</v>
      </c>
      <c r="J53" s="22" t="s">
        <v>1790</v>
      </c>
      <c r="K53" s="95" t="s">
        <v>3026</v>
      </c>
      <c r="L53" s="50">
        <v>44</v>
      </c>
      <c r="M53" s="22" t="s">
        <v>2127</v>
      </c>
      <c r="N53" s="22" t="s">
        <v>2518</v>
      </c>
      <c r="O53" s="46" t="str">
        <f>VLOOKUP(N53,Datos!$BJ$5:$BL$334,2,FALSE)</f>
        <v>PERSONAS</v>
      </c>
      <c r="P53" s="46" t="str">
        <f>VLOOKUP(N53,Datos!$BJ$5:$BL$334,3,FALSE)</f>
        <v>LESIONES</v>
      </c>
      <c r="Q53" s="23" t="s">
        <v>3022</v>
      </c>
      <c r="R53" s="65">
        <v>2</v>
      </c>
      <c r="S53" s="65">
        <v>7</v>
      </c>
      <c r="T53" s="65" t="s">
        <v>1575</v>
      </c>
      <c r="U53" s="45" t="s">
        <v>33</v>
      </c>
    </row>
    <row r="54" spans="1:21" hidden="1">
      <c r="A54" s="58">
        <v>110</v>
      </c>
      <c r="B54" s="61">
        <v>44200</v>
      </c>
      <c r="C54" s="65" t="s">
        <v>2121</v>
      </c>
      <c r="D54" s="65" t="s">
        <v>2122</v>
      </c>
      <c r="E54" s="66" t="s">
        <v>518</v>
      </c>
      <c r="F54" s="22" t="s">
        <v>1590</v>
      </c>
      <c r="G54" s="22" t="s">
        <v>3027</v>
      </c>
      <c r="H54" s="22" t="s">
        <v>3028</v>
      </c>
      <c r="I54" s="22" t="s">
        <v>2120</v>
      </c>
      <c r="J54" s="22" t="s">
        <v>1790</v>
      </c>
      <c r="K54" s="95">
        <v>95159699</v>
      </c>
      <c r="L54" s="50">
        <v>20</v>
      </c>
      <c r="M54" s="22" t="s">
        <v>2129</v>
      </c>
      <c r="N54" s="22" t="s">
        <v>2520</v>
      </c>
      <c r="O54" s="46" t="str">
        <f>VLOOKUP(N54,Datos!$BJ$5:$BL$334,2,FALSE)</f>
        <v>PROPIEDAD</v>
      </c>
      <c r="P54" s="46" t="str">
        <f>VLOOKUP(N54,Datos!$BJ$5:$BL$334,3,FALSE)</f>
        <v>ROBO</v>
      </c>
      <c r="Q54" s="23"/>
      <c r="R54" s="65" t="s">
        <v>2882</v>
      </c>
      <c r="S54" s="65" t="s">
        <v>2876</v>
      </c>
      <c r="T54" s="65" t="s">
        <v>1575</v>
      </c>
      <c r="U54" s="45" t="s">
        <v>33</v>
      </c>
    </row>
    <row r="55" spans="1:21" hidden="1">
      <c r="A55" s="58">
        <v>111</v>
      </c>
      <c r="B55" s="61">
        <v>44200</v>
      </c>
      <c r="C55" s="65" t="s">
        <v>2121</v>
      </c>
      <c r="D55" s="65" t="s">
        <v>2122</v>
      </c>
      <c r="E55" s="66" t="s">
        <v>518</v>
      </c>
      <c r="F55" s="22" t="s">
        <v>1590</v>
      </c>
      <c r="G55" s="22" t="s">
        <v>2870</v>
      </c>
      <c r="H55" s="22" t="s">
        <v>3029</v>
      </c>
      <c r="I55" s="22" t="s">
        <v>2120</v>
      </c>
      <c r="J55" s="22" t="s">
        <v>1790</v>
      </c>
      <c r="K55" s="95">
        <v>48091585</v>
      </c>
      <c r="L55" s="50">
        <v>19</v>
      </c>
      <c r="M55" s="22" t="s">
        <v>2123</v>
      </c>
      <c r="N55" s="22" t="s">
        <v>2520</v>
      </c>
      <c r="O55" s="46" t="str">
        <f>VLOOKUP(N55,Datos!$BJ$5:$BL$334,2,FALSE)</f>
        <v>PROPIEDAD</v>
      </c>
      <c r="P55" s="46" t="str">
        <f>VLOOKUP(N55,Datos!$BJ$5:$BL$334,3,FALSE)</f>
        <v>ROBO</v>
      </c>
      <c r="Q55" s="23"/>
      <c r="R55" s="65" t="s">
        <v>2882</v>
      </c>
      <c r="S55" s="65" t="s">
        <v>2876</v>
      </c>
      <c r="T55" s="65" t="s">
        <v>1575</v>
      </c>
      <c r="U55" s="45" t="s">
        <v>33</v>
      </c>
    </row>
    <row r="56" spans="1:21" hidden="1">
      <c r="A56" s="58">
        <v>112</v>
      </c>
      <c r="B56" s="61">
        <v>44200</v>
      </c>
      <c r="C56" s="65" t="s">
        <v>2121</v>
      </c>
      <c r="D56" s="65" t="s">
        <v>2122</v>
      </c>
      <c r="E56" s="66" t="s">
        <v>518</v>
      </c>
      <c r="F56" s="22" t="s">
        <v>1590</v>
      </c>
      <c r="G56" s="22" t="s">
        <v>2952</v>
      </c>
      <c r="H56" s="22" t="s">
        <v>3030</v>
      </c>
      <c r="I56" s="22" t="s">
        <v>2120</v>
      </c>
      <c r="J56" s="22" t="s">
        <v>1790</v>
      </c>
      <c r="K56" s="95">
        <v>44166655</v>
      </c>
      <c r="L56" s="50">
        <v>18</v>
      </c>
      <c r="M56" s="22" t="s">
        <v>2123</v>
      </c>
      <c r="N56" s="22" t="s">
        <v>2520</v>
      </c>
      <c r="O56" s="46" t="str">
        <f>VLOOKUP(N56,Datos!$BJ$5:$BL$334,2,FALSE)</f>
        <v>PROPIEDAD</v>
      </c>
      <c r="P56" s="46" t="str">
        <f>VLOOKUP(N56,Datos!$BJ$5:$BL$334,3,FALSE)</f>
        <v>ROBO</v>
      </c>
      <c r="Q56" s="23"/>
      <c r="R56" s="65" t="s">
        <v>2882</v>
      </c>
      <c r="S56" s="65" t="s">
        <v>2876</v>
      </c>
      <c r="T56" s="65" t="s">
        <v>1575</v>
      </c>
      <c r="U56" s="45" t="s">
        <v>33</v>
      </c>
    </row>
    <row r="57" spans="1:21" ht="13.5" hidden="1" thickBot="1">
      <c r="A57" s="58">
        <v>117</v>
      </c>
      <c r="B57" s="61">
        <v>44207</v>
      </c>
      <c r="C57" s="65" t="s">
        <v>2121</v>
      </c>
      <c r="D57" s="65" t="s">
        <v>2122</v>
      </c>
      <c r="E57" s="66" t="s">
        <v>518</v>
      </c>
      <c r="F57" s="22" t="s">
        <v>1590</v>
      </c>
      <c r="G57" s="22" t="s">
        <v>3032</v>
      </c>
      <c r="H57" s="22" t="s">
        <v>3033</v>
      </c>
      <c r="I57" s="22" t="s">
        <v>2120</v>
      </c>
      <c r="J57" s="22" t="s">
        <v>1790</v>
      </c>
      <c r="K57" s="95" t="s">
        <v>3034</v>
      </c>
      <c r="L57" s="50">
        <v>53</v>
      </c>
      <c r="M57" s="22" t="s">
        <v>2123</v>
      </c>
      <c r="N57" s="22" t="s">
        <v>2648</v>
      </c>
      <c r="O57" s="46" t="str">
        <f>VLOOKUP(N57,Datos!$BJ$5:$BL$334,2,FALSE)</f>
        <v>ORDEN PÚBLICO</v>
      </c>
      <c r="P57" s="46" t="str">
        <f>VLOOKUP(N57,Datos!$BJ$5:$BL$334,3,FALSE)</f>
        <v>OTROS (C/PROPIEDAD)</v>
      </c>
      <c r="Q57" s="93" t="s">
        <v>3035</v>
      </c>
      <c r="R57" s="65">
        <v>3</v>
      </c>
      <c r="S57" s="65">
        <v>3</v>
      </c>
      <c r="T57" s="65" t="s">
        <v>1575</v>
      </c>
      <c r="U57" s="45" t="s">
        <v>33</v>
      </c>
    </row>
    <row r="58" spans="1:21" hidden="1">
      <c r="A58" s="58">
        <v>118</v>
      </c>
      <c r="B58" s="61">
        <v>44208</v>
      </c>
      <c r="C58" s="65" t="s">
        <v>2121</v>
      </c>
      <c r="D58" s="65" t="s">
        <v>2122</v>
      </c>
      <c r="E58" s="66" t="s">
        <v>518</v>
      </c>
      <c r="F58" s="22" t="s">
        <v>1590</v>
      </c>
      <c r="G58" s="22" t="s">
        <v>3036</v>
      </c>
      <c r="H58" s="22" t="s">
        <v>3037</v>
      </c>
      <c r="I58" s="22" t="s">
        <v>2120</v>
      </c>
      <c r="J58" s="22" t="s">
        <v>1790</v>
      </c>
      <c r="K58" s="95">
        <v>39151309</v>
      </c>
      <c r="L58" s="83">
        <v>25</v>
      </c>
      <c r="M58" s="22" t="s">
        <v>2123</v>
      </c>
      <c r="N58" s="22" t="s">
        <v>2569</v>
      </c>
      <c r="O58" s="46" t="str">
        <f>VLOOKUP(N58,Datos!$BJ$5:$BL$334,2,FALSE)</f>
        <v>PERSONAS</v>
      </c>
      <c r="P58" s="46" t="str">
        <f>VLOOKUP(N58,Datos!$BJ$5:$BL$334,3,FALSE)</f>
        <v>AB ARMA</v>
      </c>
      <c r="Q58" s="80" t="s">
        <v>3038</v>
      </c>
      <c r="R58" s="86"/>
      <c r="S58" s="86" t="s">
        <v>2974</v>
      </c>
      <c r="T58" s="65" t="s">
        <v>1575</v>
      </c>
      <c r="U58" s="45" t="s">
        <v>33</v>
      </c>
    </row>
    <row r="59" spans="1:21">
      <c r="A59" s="58">
        <v>120</v>
      </c>
      <c r="B59" s="61">
        <v>44211</v>
      </c>
      <c r="C59" s="65" t="s">
        <v>2122</v>
      </c>
      <c r="D59" s="65" t="s">
        <v>2121</v>
      </c>
      <c r="E59" s="66" t="s">
        <v>518</v>
      </c>
      <c r="F59" s="22" t="s">
        <v>1589</v>
      </c>
      <c r="G59" s="22" t="s">
        <v>3039</v>
      </c>
      <c r="H59" s="22" t="s">
        <v>3040</v>
      </c>
      <c r="I59" s="22" t="s">
        <v>2119</v>
      </c>
      <c r="J59" s="22" t="s">
        <v>1790</v>
      </c>
      <c r="K59" s="95">
        <v>29142466</v>
      </c>
      <c r="L59" s="83">
        <v>39</v>
      </c>
      <c r="M59" s="22" t="s">
        <v>2123</v>
      </c>
      <c r="N59" s="22" t="s">
        <v>2366</v>
      </c>
      <c r="O59" s="46" t="str">
        <f>VLOOKUP(N59,Datos!$BJ$5:$BL$334,2,FALSE)</f>
        <v>LIBERTAD</v>
      </c>
      <c r="P59" s="46" t="str">
        <f>VLOOKUP(N59,Datos!$BJ$5:$BL$334,3,FALSE)</f>
        <v>A R AUTORIDAD</v>
      </c>
      <c r="Q59" s="80" t="s">
        <v>3041</v>
      </c>
      <c r="R59" s="65">
        <v>3</v>
      </c>
      <c r="S59" s="65">
        <v>3</v>
      </c>
      <c r="T59" s="65" t="s">
        <v>1575</v>
      </c>
      <c r="U59" s="45" t="s">
        <v>3042</v>
      </c>
    </row>
    <row r="60" spans="1:21" hidden="1">
      <c r="A60" s="58">
        <v>123</v>
      </c>
      <c r="B60" s="61">
        <v>44212</v>
      </c>
      <c r="C60" s="65" t="s">
        <v>2121</v>
      </c>
      <c r="D60" s="65" t="s">
        <v>2122</v>
      </c>
      <c r="E60" s="66" t="s">
        <v>518</v>
      </c>
      <c r="F60" s="22" t="s">
        <v>1576</v>
      </c>
      <c r="G60" s="22" t="s">
        <v>2952</v>
      </c>
      <c r="H60" s="22" t="s">
        <v>3043</v>
      </c>
      <c r="I60" s="22" t="s">
        <v>2120</v>
      </c>
      <c r="J60" s="22" t="s">
        <v>1790</v>
      </c>
      <c r="K60" s="95" t="s">
        <v>3044</v>
      </c>
      <c r="L60" s="50">
        <v>19</v>
      </c>
      <c r="M60" s="22" t="s">
        <v>2123</v>
      </c>
      <c r="N60" s="22" t="s">
        <v>2187</v>
      </c>
      <c r="O60" s="46" t="str">
        <f>VLOOKUP(N60,Datos!$BJ$5:$BL$334,2,FALSE)</f>
        <v>ADMINISTRACIÓN PÚBLICA</v>
      </c>
      <c r="P60" s="46" t="str">
        <f>VLOOKUP(N60,Datos!$BJ$5:$BL$334,3,FALSE)</f>
        <v>ENCUBRIMIENTO</v>
      </c>
      <c r="Q60" s="23" t="s">
        <v>3045</v>
      </c>
      <c r="R60" s="65">
        <v>3</v>
      </c>
      <c r="S60" s="65">
        <v>5</v>
      </c>
      <c r="T60" s="65" t="s">
        <v>1575</v>
      </c>
      <c r="U60" s="45" t="s">
        <v>33</v>
      </c>
    </row>
    <row r="61" spans="1:21" hidden="1">
      <c r="A61" s="58">
        <v>126</v>
      </c>
      <c r="B61" s="61">
        <v>44216</v>
      </c>
      <c r="C61" s="65" t="s">
        <v>2121</v>
      </c>
      <c r="D61" s="65" t="s">
        <v>2122</v>
      </c>
      <c r="E61" s="66" t="s">
        <v>518</v>
      </c>
      <c r="F61" s="22" t="s">
        <v>1590</v>
      </c>
      <c r="G61" s="22" t="s">
        <v>3046</v>
      </c>
      <c r="H61" s="22" t="s">
        <v>3047</v>
      </c>
      <c r="I61" s="22" t="s">
        <v>2120</v>
      </c>
      <c r="J61" s="22" t="s">
        <v>1790</v>
      </c>
      <c r="K61" s="95" t="s">
        <v>3048</v>
      </c>
      <c r="L61" s="50">
        <v>19</v>
      </c>
      <c r="M61" s="22" t="s">
        <v>2123</v>
      </c>
      <c r="N61" s="22" t="s">
        <v>2599</v>
      </c>
      <c r="O61" s="46" t="str">
        <f>VLOOKUP(N61,Datos!$BJ$5:$BL$334,2,FALSE)</f>
        <v>PROPIEDAD</v>
      </c>
      <c r="P61" s="46" t="str">
        <f>VLOOKUP(N61,Datos!$BJ$5:$BL$334,3,FALSE)</f>
        <v>ASALTO</v>
      </c>
      <c r="Q61" s="23" t="s">
        <v>3049</v>
      </c>
      <c r="R61" s="65">
        <v>3</v>
      </c>
      <c r="S61" s="65">
        <v>2</v>
      </c>
      <c r="T61" s="65" t="s">
        <v>1575</v>
      </c>
      <c r="U61" s="45" t="s">
        <v>33</v>
      </c>
    </row>
    <row r="62" spans="1:21" hidden="1">
      <c r="A62" s="58">
        <v>127</v>
      </c>
      <c r="B62" s="61">
        <v>44218</v>
      </c>
      <c r="C62" s="65" t="s">
        <v>2121</v>
      </c>
      <c r="D62" s="65" t="s">
        <v>2122</v>
      </c>
      <c r="E62" s="66" t="s">
        <v>518</v>
      </c>
      <c r="F62" s="22" t="s">
        <v>1590</v>
      </c>
      <c r="G62" s="22" t="s">
        <v>3050</v>
      </c>
      <c r="H62" s="22" t="s">
        <v>3052</v>
      </c>
      <c r="I62" s="22" t="s">
        <v>2120</v>
      </c>
      <c r="J62" s="22" t="s">
        <v>1790</v>
      </c>
      <c r="K62" s="95" t="s">
        <v>3056</v>
      </c>
      <c r="L62" s="50">
        <v>19</v>
      </c>
      <c r="M62" s="22" t="s">
        <v>2123</v>
      </c>
      <c r="N62" s="22" t="s">
        <v>2171</v>
      </c>
      <c r="O62" s="46" t="str">
        <f>VLOOKUP(N62,Datos!$BJ$5:$BL$334,2,FALSE)</f>
        <v>PROPIEDAD</v>
      </c>
      <c r="P62" s="46" t="str">
        <f>VLOOKUP(N62,Datos!$BJ$5:$BL$334,3,FALSE)</f>
        <v>ROBO</v>
      </c>
      <c r="Q62" s="94" t="s">
        <v>3053</v>
      </c>
      <c r="R62" s="65">
        <v>3</v>
      </c>
      <c r="S62" s="65">
        <v>2</v>
      </c>
      <c r="T62" s="65" t="s">
        <v>1575</v>
      </c>
      <c r="U62" s="45" t="s">
        <v>33</v>
      </c>
    </row>
    <row r="63" spans="1:21" hidden="1">
      <c r="A63" s="58">
        <v>128</v>
      </c>
      <c r="B63" s="61">
        <v>44218</v>
      </c>
      <c r="C63" s="65" t="s">
        <v>2121</v>
      </c>
      <c r="D63" s="65" t="s">
        <v>2122</v>
      </c>
      <c r="E63" s="66" t="s">
        <v>518</v>
      </c>
      <c r="F63" s="22" t="s">
        <v>1590</v>
      </c>
      <c r="G63" s="22" t="s">
        <v>3051</v>
      </c>
      <c r="H63" s="22" t="s">
        <v>3054</v>
      </c>
      <c r="I63" s="22" t="s">
        <v>2120</v>
      </c>
      <c r="J63" s="22" t="s">
        <v>1790</v>
      </c>
      <c r="K63" s="95" t="s">
        <v>3055</v>
      </c>
      <c r="L63" s="50">
        <v>44</v>
      </c>
      <c r="M63" s="22" t="s">
        <v>2123</v>
      </c>
      <c r="N63" s="22" t="s">
        <v>2515</v>
      </c>
      <c r="O63" s="46" t="str">
        <f>VLOOKUP(N63,Datos!$BJ$5:$BL$334,2,FALSE)</f>
        <v>OTROS DELITOS</v>
      </c>
      <c r="P63" s="46" t="str">
        <f>VLOOKUP(N63,Datos!$BJ$5:$BL$334,3,FALSE)</f>
        <v>OTROS DELITOS</v>
      </c>
      <c r="Q63" s="94" t="s">
        <v>3057</v>
      </c>
      <c r="R63" s="65">
        <v>3</v>
      </c>
      <c r="S63" s="65">
        <v>4</v>
      </c>
      <c r="T63" s="65" t="s">
        <v>1575</v>
      </c>
      <c r="U63" s="45" t="s">
        <v>33</v>
      </c>
    </row>
    <row r="64" spans="1:21" hidden="1">
      <c r="A64" s="58">
        <v>130</v>
      </c>
      <c r="B64" s="61">
        <v>44218</v>
      </c>
      <c r="C64" s="65" t="s">
        <v>2121</v>
      </c>
      <c r="D64" s="65" t="s">
        <v>2122</v>
      </c>
      <c r="E64" s="66" t="s">
        <v>518</v>
      </c>
      <c r="F64" s="22" t="s">
        <v>1590</v>
      </c>
      <c r="G64" s="22" t="s">
        <v>3058</v>
      </c>
      <c r="H64" s="22" t="s">
        <v>3060</v>
      </c>
      <c r="I64" s="22" t="s">
        <v>2120</v>
      </c>
      <c r="J64" s="22" t="s">
        <v>1790</v>
      </c>
      <c r="K64" s="95" t="s">
        <v>3059</v>
      </c>
      <c r="L64" s="50">
        <v>40</v>
      </c>
      <c r="M64" s="22" t="s">
        <v>2123</v>
      </c>
      <c r="N64" s="22" t="s">
        <v>2367</v>
      </c>
      <c r="O64" s="46" t="str">
        <f>VLOOKUP(N64,Datos!$BJ$5:$BL$334,2,FALSE)</f>
        <v>OTROS DELITOS</v>
      </c>
      <c r="P64" s="46" t="str">
        <f>VLOOKUP(N64,Datos!$BJ$5:$BL$334,3,FALSE)</f>
        <v>OTROS DELITOS</v>
      </c>
      <c r="Q64" s="94" t="s">
        <v>3061</v>
      </c>
      <c r="R64" s="65">
        <v>1</v>
      </c>
      <c r="S64" s="65">
        <v>1</v>
      </c>
      <c r="T64" s="65" t="s">
        <v>1575</v>
      </c>
      <c r="U64" s="45" t="s">
        <v>33</v>
      </c>
    </row>
    <row r="65" spans="1:21">
      <c r="A65" s="58">
        <v>132</v>
      </c>
      <c r="B65" s="61">
        <v>44220</v>
      </c>
      <c r="C65" s="65" t="s">
        <v>2121</v>
      </c>
      <c r="D65" s="65" t="s">
        <v>2122</v>
      </c>
      <c r="E65" s="66" t="s">
        <v>518</v>
      </c>
      <c r="F65" s="22" t="s">
        <v>1589</v>
      </c>
      <c r="G65" s="22" t="s">
        <v>3062</v>
      </c>
      <c r="H65" s="22" t="s">
        <v>3063</v>
      </c>
      <c r="I65" s="22" t="s">
        <v>2119</v>
      </c>
      <c r="J65" s="22" t="s">
        <v>1790</v>
      </c>
      <c r="K65" s="95" t="s">
        <v>3065</v>
      </c>
      <c r="L65" s="50">
        <v>41</v>
      </c>
      <c r="M65" s="22" t="s">
        <v>2123</v>
      </c>
      <c r="N65" s="22" t="s">
        <v>2173</v>
      </c>
      <c r="O65" s="46" t="str">
        <f>VLOOKUP(N65,Datos!$BJ$5:$BL$334,2,FALSE)</f>
        <v>PROPIEDAD</v>
      </c>
      <c r="P65" s="46" t="str">
        <f>VLOOKUP(N65,Datos!$BJ$5:$BL$334,3,FALSE)</f>
        <v>ESTAFA</v>
      </c>
      <c r="Q65" s="94" t="s">
        <v>3064</v>
      </c>
      <c r="R65" s="65">
        <v>3</v>
      </c>
      <c r="S65" s="65">
        <v>5</v>
      </c>
      <c r="T65" s="65" t="s">
        <v>2149</v>
      </c>
      <c r="U65" s="45" t="s">
        <v>33</v>
      </c>
    </row>
    <row r="66" spans="1:21" hidden="1">
      <c r="A66" s="58">
        <v>137</v>
      </c>
      <c r="B66" s="61">
        <v>44225</v>
      </c>
      <c r="C66" s="65" t="s">
        <v>2121</v>
      </c>
      <c r="D66" s="65" t="s">
        <v>2122</v>
      </c>
      <c r="E66" s="66" t="s">
        <v>518</v>
      </c>
      <c r="F66" s="22" t="s">
        <v>1590</v>
      </c>
      <c r="G66" s="22" t="s">
        <v>3069</v>
      </c>
      <c r="H66" s="22" t="s">
        <v>3070</v>
      </c>
      <c r="I66" s="22" t="s">
        <v>2120</v>
      </c>
      <c r="J66" s="22" t="s">
        <v>1790</v>
      </c>
      <c r="K66" s="95" t="s">
        <v>3077</v>
      </c>
      <c r="L66" s="50">
        <v>20</v>
      </c>
      <c r="M66" s="22" t="s">
        <v>2123</v>
      </c>
      <c r="N66" s="22" t="s">
        <v>2171</v>
      </c>
      <c r="O66" s="46" t="str">
        <f>VLOOKUP(N66,Datos!$BJ$5:$BL$334,2,FALSE)</f>
        <v>PROPIEDAD</v>
      </c>
      <c r="P66" s="46" t="str">
        <f>VLOOKUP(N66,Datos!$BJ$5:$BL$334,3,FALSE)</f>
        <v>ROBO</v>
      </c>
      <c r="Q66" s="94" t="s">
        <v>3074</v>
      </c>
      <c r="R66" s="65">
        <v>3</v>
      </c>
      <c r="S66" s="65" t="s">
        <v>3068</v>
      </c>
      <c r="T66" s="65" t="s">
        <v>1575</v>
      </c>
      <c r="U66" s="45" t="s">
        <v>33</v>
      </c>
    </row>
    <row r="67" spans="1:21" hidden="1">
      <c r="A67" s="58">
        <v>138</v>
      </c>
      <c r="B67" s="61">
        <v>44225</v>
      </c>
      <c r="C67" s="65" t="s">
        <v>2121</v>
      </c>
      <c r="D67" s="65" t="s">
        <v>2122</v>
      </c>
      <c r="E67" s="66" t="s">
        <v>518</v>
      </c>
      <c r="F67" s="22" t="s">
        <v>1590</v>
      </c>
      <c r="G67" s="22" t="s">
        <v>3069</v>
      </c>
      <c r="H67" s="22" t="s">
        <v>3071</v>
      </c>
      <c r="I67" s="22" t="s">
        <v>2120</v>
      </c>
      <c r="J67" s="22" t="s">
        <v>1790</v>
      </c>
      <c r="K67" s="95" t="s">
        <v>3078</v>
      </c>
      <c r="L67" s="50">
        <v>20</v>
      </c>
      <c r="M67" s="22" t="s">
        <v>2123</v>
      </c>
      <c r="N67" s="22" t="s">
        <v>2171</v>
      </c>
      <c r="O67" s="46" t="str">
        <f>VLOOKUP(N67,Datos!$BJ$5:$BL$334,2,FALSE)</f>
        <v>PROPIEDAD</v>
      </c>
      <c r="P67" s="46" t="str">
        <f>VLOOKUP(N67,Datos!$BJ$5:$BL$334,3,FALSE)</f>
        <v>ROBO</v>
      </c>
      <c r="Q67" s="94" t="s">
        <v>3074</v>
      </c>
      <c r="R67" s="65">
        <v>3</v>
      </c>
      <c r="S67" s="65" t="s">
        <v>3068</v>
      </c>
      <c r="T67" s="65" t="s">
        <v>1575</v>
      </c>
      <c r="U67" s="45" t="s">
        <v>33</v>
      </c>
    </row>
    <row r="68" spans="1:21" hidden="1">
      <c r="A68" s="58">
        <v>139</v>
      </c>
      <c r="B68" s="61">
        <v>44225</v>
      </c>
      <c r="C68" s="65" t="s">
        <v>2121</v>
      </c>
      <c r="D68" s="65" t="s">
        <v>2122</v>
      </c>
      <c r="E68" s="66" t="s">
        <v>518</v>
      </c>
      <c r="F68" s="22" t="s">
        <v>1590</v>
      </c>
      <c r="G68" s="22" t="s">
        <v>3072</v>
      </c>
      <c r="H68" s="22" t="s">
        <v>3073</v>
      </c>
      <c r="I68" s="22" t="s">
        <v>2120</v>
      </c>
      <c r="J68" s="22" t="s">
        <v>1790</v>
      </c>
      <c r="K68" s="95" t="s">
        <v>3079</v>
      </c>
      <c r="L68" s="50">
        <v>18</v>
      </c>
      <c r="M68" s="22" t="s">
        <v>2123</v>
      </c>
      <c r="N68" s="22" t="s">
        <v>2377</v>
      </c>
      <c r="O68" s="46" t="str">
        <f>VLOOKUP(N68,Datos!$BJ$5:$BL$334,2,FALSE)</f>
        <v>PROPIEDAD</v>
      </c>
      <c r="P68" s="46" t="str">
        <f>VLOOKUP(N68,Datos!$BJ$5:$BL$334,3,FALSE)</f>
        <v>AUTOMOTOR</v>
      </c>
      <c r="Q68" s="94" t="s">
        <v>3075</v>
      </c>
      <c r="R68" s="65">
        <v>3</v>
      </c>
      <c r="S68" s="65">
        <v>2</v>
      </c>
      <c r="T68" s="65" t="s">
        <v>1575</v>
      </c>
      <c r="U68" s="45" t="s">
        <v>33</v>
      </c>
    </row>
    <row r="69" spans="1:21">
      <c r="A69" s="58">
        <v>140</v>
      </c>
      <c r="B69" s="61">
        <v>44225</v>
      </c>
      <c r="C69" s="65" t="s">
        <v>2121</v>
      </c>
      <c r="D69" s="65" t="s">
        <v>2122</v>
      </c>
      <c r="E69" s="66" t="s">
        <v>518</v>
      </c>
      <c r="F69" s="22" t="s">
        <v>1589</v>
      </c>
      <c r="G69" s="22" t="s">
        <v>2952</v>
      </c>
      <c r="H69" s="22" t="s">
        <v>3066</v>
      </c>
      <c r="I69" s="22" t="s">
        <v>2119</v>
      </c>
      <c r="J69" s="22" t="s">
        <v>1790</v>
      </c>
      <c r="K69" s="95" t="s">
        <v>3067</v>
      </c>
      <c r="L69" s="50">
        <v>18</v>
      </c>
      <c r="M69" s="22" t="s">
        <v>2123</v>
      </c>
      <c r="N69" s="22" t="s">
        <v>2171</v>
      </c>
      <c r="O69" s="46" t="str">
        <f>VLOOKUP(N69,Datos!$BJ$5:$BL$334,2,FALSE)</f>
        <v>PROPIEDAD</v>
      </c>
      <c r="P69" s="46" t="str">
        <f>VLOOKUP(N69,Datos!$BJ$5:$BL$334,3,FALSE)</f>
        <v>ROBO</v>
      </c>
      <c r="Q69" s="94" t="s">
        <v>3074</v>
      </c>
      <c r="R69" s="65">
        <v>3</v>
      </c>
      <c r="S69" s="65" t="s">
        <v>3068</v>
      </c>
      <c r="T69" s="65" t="s">
        <v>1575</v>
      </c>
      <c r="U69" s="45" t="s">
        <v>33</v>
      </c>
    </row>
    <row r="70" spans="1:21" hidden="1">
      <c r="A70" s="58">
        <v>143</v>
      </c>
      <c r="B70" s="61">
        <v>44231</v>
      </c>
      <c r="C70" s="65" t="s">
        <v>2121</v>
      </c>
      <c r="D70" s="65" t="s">
        <v>2121</v>
      </c>
      <c r="E70" s="66" t="s">
        <v>518</v>
      </c>
      <c r="F70" s="22" t="s">
        <v>1590</v>
      </c>
      <c r="G70" s="22" t="s">
        <v>3069</v>
      </c>
      <c r="H70" s="22" t="s">
        <v>3076</v>
      </c>
      <c r="I70" s="22" t="s">
        <v>2120</v>
      </c>
      <c r="J70" s="22" t="s">
        <v>1790</v>
      </c>
      <c r="K70" s="95" t="s">
        <v>3080</v>
      </c>
      <c r="L70" s="50">
        <v>26</v>
      </c>
      <c r="M70" s="22" t="s">
        <v>2123</v>
      </c>
      <c r="N70" s="22" t="s">
        <v>2563</v>
      </c>
      <c r="O70" s="46" t="str">
        <f>VLOOKUP(N70,Datos!$BJ$5:$BL$334,2,FALSE)</f>
        <v>PERSONAS</v>
      </c>
      <c r="P70" s="46" t="str">
        <f>VLOOKUP(N70,Datos!$BJ$5:$BL$334,3,FALSE)</f>
        <v>OTROS (C/LAS PERSONAS)</v>
      </c>
      <c r="Q70" s="94" t="s">
        <v>3081</v>
      </c>
      <c r="R70" s="65">
        <v>3</v>
      </c>
      <c r="S70" s="65">
        <v>1</v>
      </c>
      <c r="T70" s="65" t="s">
        <v>1575</v>
      </c>
      <c r="U70" s="45" t="s">
        <v>2892</v>
      </c>
    </row>
    <row r="71" spans="1:21">
      <c r="A71" s="58">
        <v>144</v>
      </c>
      <c r="B71" s="61">
        <v>44232</v>
      </c>
      <c r="C71" s="65" t="s">
        <v>2121</v>
      </c>
      <c r="D71" s="65" t="s">
        <v>2121</v>
      </c>
      <c r="E71" s="66" t="s">
        <v>518</v>
      </c>
      <c r="F71" s="22" t="s">
        <v>1589</v>
      </c>
      <c r="G71" s="22" t="s">
        <v>3069</v>
      </c>
      <c r="H71" s="22" t="s">
        <v>3082</v>
      </c>
      <c r="I71" s="22" t="s">
        <v>2119</v>
      </c>
      <c r="J71" s="22" t="s">
        <v>1790</v>
      </c>
      <c r="K71" s="95" t="s">
        <v>3083</v>
      </c>
      <c r="L71" s="50"/>
      <c r="M71" s="22" t="s">
        <v>2123</v>
      </c>
      <c r="N71" s="22" t="s">
        <v>2563</v>
      </c>
      <c r="O71" s="46" t="str">
        <f>VLOOKUP(N71,Datos!$BJ$5:$BL$334,2,FALSE)</f>
        <v>PERSONAS</v>
      </c>
      <c r="P71" s="46" t="str">
        <f>VLOOKUP(N71,Datos!$BJ$5:$BL$334,3,FALSE)</f>
        <v>OTROS (C/LAS PERSONAS)</v>
      </c>
      <c r="Q71" s="94" t="s">
        <v>3084</v>
      </c>
      <c r="R71" s="65">
        <v>3</v>
      </c>
      <c r="S71" s="65">
        <v>1</v>
      </c>
      <c r="T71" s="65" t="s">
        <v>1575</v>
      </c>
      <c r="U71" s="45" t="s">
        <v>2892</v>
      </c>
    </row>
    <row r="72" spans="1:21" hidden="1">
      <c r="A72" s="58">
        <v>145</v>
      </c>
      <c r="B72" s="61">
        <v>44232</v>
      </c>
      <c r="C72" s="65" t="s">
        <v>2121</v>
      </c>
      <c r="D72" s="65" t="s">
        <v>2121</v>
      </c>
      <c r="E72" s="66" t="s">
        <v>518</v>
      </c>
      <c r="F72" s="22" t="s">
        <v>1590</v>
      </c>
      <c r="G72" s="22" t="s">
        <v>3085</v>
      </c>
      <c r="H72" s="22" t="s">
        <v>3086</v>
      </c>
      <c r="I72" s="22" t="s">
        <v>2120</v>
      </c>
      <c r="J72" s="22" t="s">
        <v>1790</v>
      </c>
      <c r="K72" s="95" t="s">
        <v>3087</v>
      </c>
      <c r="L72" s="50">
        <v>20</v>
      </c>
      <c r="M72" s="22" t="s">
        <v>2123</v>
      </c>
      <c r="N72" s="22" t="s">
        <v>2171</v>
      </c>
      <c r="O72" s="46" t="str">
        <f>VLOOKUP(N72,Datos!$BJ$5:$BL$334,2,FALSE)</f>
        <v>PROPIEDAD</v>
      </c>
      <c r="P72" s="46" t="str">
        <f>VLOOKUP(N72,Datos!$BJ$5:$BL$334,3,FALSE)</f>
        <v>ROBO</v>
      </c>
      <c r="Q72" s="94" t="s">
        <v>3088</v>
      </c>
      <c r="R72" s="65">
        <v>3</v>
      </c>
      <c r="S72" s="65">
        <v>2</v>
      </c>
      <c r="T72" s="65" t="s">
        <v>1575</v>
      </c>
      <c r="U72" s="45" t="s">
        <v>3089</v>
      </c>
    </row>
    <row r="73" spans="1:21" hidden="1">
      <c r="A73" s="58">
        <v>147</v>
      </c>
      <c r="B73" s="61">
        <v>44237</v>
      </c>
      <c r="C73" s="65" t="s">
        <v>2121</v>
      </c>
      <c r="D73" s="65" t="s">
        <v>2122</v>
      </c>
      <c r="E73" s="66" t="s">
        <v>518</v>
      </c>
      <c r="F73" s="22" t="s">
        <v>1590</v>
      </c>
      <c r="G73" s="22" t="s">
        <v>3090</v>
      </c>
      <c r="H73" s="22" t="s">
        <v>3091</v>
      </c>
      <c r="I73" s="22" t="s">
        <v>2120</v>
      </c>
      <c r="J73" s="22" t="s">
        <v>1790</v>
      </c>
      <c r="K73" s="95" t="s">
        <v>3092</v>
      </c>
      <c r="L73" s="50">
        <v>44</v>
      </c>
      <c r="M73" s="22" t="s">
        <v>2123</v>
      </c>
      <c r="N73" s="22" t="s">
        <v>2170</v>
      </c>
      <c r="O73" s="46" t="str">
        <f>VLOOKUP(N73,Datos!$BJ$5:$BL$334,2,FALSE)</f>
        <v>PROPIEDAD</v>
      </c>
      <c r="P73" s="46" t="str">
        <f>VLOOKUP(N73,Datos!$BJ$5:$BL$334,3,FALSE)</f>
        <v>OTROS (C/LAS PERSONAS)</v>
      </c>
      <c r="Q73" s="94" t="s">
        <v>3093</v>
      </c>
      <c r="R73" s="65">
        <v>1</v>
      </c>
      <c r="S73" s="65">
        <v>3</v>
      </c>
      <c r="T73" s="65" t="s">
        <v>1575</v>
      </c>
      <c r="U73" s="45" t="s">
        <v>33</v>
      </c>
    </row>
    <row r="74" spans="1:21" hidden="1">
      <c r="A74" s="58">
        <v>155</v>
      </c>
      <c r="B74" s="61">
        <v>44245</v>
      </c>
      <c r="C74" s="65" t="s">
        <v>2121</v>
      </c>
      <c r="D74" s="65" t="s">
        <v>2122</v>
      </c>
      <c r="E74" s="66" t="s">
        <v>518</v>
      </c>
      <c r="F74" s="22" t="s">
        <v>1576</v>
      </c>
      <c r="G74" s="22" t="s">
        <v>3095</v>
      </c>
      <c r="H74" s="22" t="s">
        <v>3096</v>
      </c>
      <c r="I74" s="22" t="s">
        <v>2120</v>
      </c>
      <c r="J74" s="22" t="s">
        <v>1790</v>
      </c>
      <c r="K74" s="95" t="s">
        <v>3097</v>
      </c>
      <c r="L74" s="50">
        <v>18</v>
      </c>
      <c r="M74" s="22" t="s">
        <v>2123</v>
      </c>
      <c r="N74" s="22" t="s">
        <v>2564</v>
      </c>
      <c r="O74" s="46" t="str">
        <f>VLOOKUP(N74,Datos!$BJ$5:$BL$334,2,FALSE)</f>
        <v>PROPIEDAD</v>
      </c>
      <c r="P74" s="46" t="str">
        <f>VLOOKUP(N74,Datos!$BJ$5:$BL$334,3,FALSE)</f>
        <v>OTROS (C/PROPIEDAD)</v>
      </c>
      <c r="Q74" s="23"/>
      <c r="R74" s="65">
        <v>1</v>
      </c>
      <c r="S74" s="65">
        <v>6</v>
      </c>
      <c r="T74" s="65" t="s">
        <v>1575</v>
      </c>
      <c r="U74" s="45" t="s">
        <v>33</v>
      </c>
    </row>
    <row r="75" spans="1:21" hidden="1">
      <c r="A75" s="58">
        <v>158</v>
      </c>
      <c r="B75" s="61">
        <v>44248</v>
      </c>
      <c r="C75" s="65" t="s">
        <v>2121</v>
      </c>
      <c r="D75" s="65" t="s">
        <v>2122</v>
      </c>
      <c r="E75" s="66" t="s">
        <v>518</v>
      </c>
      <c r="F75" s="22" t="s">
        <v>1590</v>
      </c>
      <c r="G75" s="22" t="s">
        <v>2879</v>
      </c>
      <c r="H75" s="22" t="s">
        <v>2880</v>
      </c>
      <c r="I75" s="22" t="s">
        <v>2120</v>
      </c>
      <c r="J75" s="22" t="s">
        <v>1790</v>
      </c>
      <c r="K75" s="95" t="s">
        <v>3098</v>
      </c>
      <c r="L75" s="50">
        <v>29</v>
      </c>
      <c r="M75" s="22" t="s">
        <v>2123</v>
      </c>
      <c r="N75" s="22" t="s">
        <v>2367</v>
      </c>
      <c r="O75" s="46" t="str">
        <f>VLOOKUP(N75,Datos!$BJ$5:$BL$334,2,FALSE)</f>
        <v>OTROS DELITOS</v>
      </c>
      <c r="P75" s="46" t="str">
        <f>VLOOKUP(N75,Datos!$BJ$5:$BL$334,3,FALSE)</f>
        <v>OTROS DELITOS</v>
      </c>
      <c r="Q75" s="23" t="s">
        <v>3099</v>
      </c>
      <c r="R75" s="65">
        <v>1</v>
      </c>
      <c r="S75" s="65">
        <v>7</v>
      </c>
      <c r="T75" s="65" t="s">
        <v>1575</v>
      </c>
      <c r="U75" s="45" t="s">
        <v>33</v>
      </c>
    </row>
    <row r="76" spans="1:21" hidden="1">
      <c r="A76" s="58">
        <v>159</v>
      </c>
      <c r="B76" s="61">
        <v>44248</v>
      </c>
      <c r="C76" s="65" t="s">
        <v>2121</v>
      </c>
      <c r="D76" s="65" t="s">
        <v>2122</v>
      </c>
      <c r="E76" s="66" t="s">
        <v>518</v>
      </c>
      <c r="F76" s="22" t="s">
        <v>1576</v>
      </c>
      <c r="G76" s="22" t="s">
        <v>3094</v>
      </c>
      <c r="H76" s="22" t="s">
        <v>3100</v>
      </c>
      <c r="I76" s="22" t="s">
        <v>2120</v>
      </c>
      <c r="J76" s="22" t="s">
        <v>1790</v>
      </c>
      <c r="K76" s="95" t="s">
        <v>3101</v>
      </c>
      <c r="L76" s="50">
        <v>36</v>
      </c>
      <c r="M76" s="22" t="s">
        <v>2123</v>
      </c>
      <c r="N76" s="22" t="s">
        <v>2564</v>
      </c>
      <c r="O76" s="46" t="str">
        <f>VLOOKUP(N76,Datos!$BJ$5:$BL$334,2,FALSE)</f>
        <v>PROPIEDAD</v>
      </c>
      <c r="P76" s="46" t="str">
        <f>VLOOKUP(N76,Datos!$BJ$5:$BL$334,3,FALSE)</f>
        <v>OTROS (C/PROPIEDAD)</v>
      </c>
      <c r="Q76" s="23"/>
      <c r="R76" s="65">
        <v>1</v>
      </c>
      <c r="S76" s="65">
        <v>7</v>
      </c>
      <c r="T76" s="65" t="s">
        <v>1575</v>
      </c>
      <c r="U76" s="45" t="s">
        <v>33</v>
      </c>
    </row>
    <row r="77" spans="1:21" hidden="1">
      <c r="A77" s="58">
        <v>160</v>
      </c>
      <c r="B77" s="61">
        <v>44248</v>
      </c>
      <c r="C77" s="65" t="s">
        <v>2121</v>
      </c>
      <c r="D77" s="65" t="s">
        <v>2122</v>
      </c>
      <c r="E77" s="66" t="s">
        <v>518</v>
      </c>
      <c r="F77" s="22" t="s">
        <v>1576</v>
      </c>
      <c r="G77" s="22" t="s">
        <v>3069</v>
      </c>
      <c r="H77" s="22" t="s">
        <v>3102</v>
      </c>
      <c r="I77" s="22" t="s">
        <v>2120</v>
      </c>
      <c r="J77" s="22" t="s">
        <v>1790</v>
      </c>
      <c r="K77" s="95" t="s">
        <v>3103</v>
      </c>
      <c r="L77" s="50">
        <v>22</v>
      </c>
      <c r="M77" s="22" t="s">
        <v>2123</v>
      </c>
      <c r="N77" s="22" t="s">
        <v>2514</v>
      </c>
      <c r="O77" s="46" t="str">
        <f>VLOOKUP(N77,Datos!$BJ$5:$BL$334,2,FALSE)</f>
        <v>PROPIEDAD</v>
      </c>
      <c r="P77" s="46" t="str">
        <f>VLOOKUP(N77,Datos!$BJ$5:$BL$334,3,FALSE)</f>
        <v>DAÑOS</v>
      </c>
      <c r="Q77" s="23"/>
      <c r="R77" s="65">
        <v>1</v>
      </c>
      <c r="S77" s="65">
        <v>7</v>
      </c>
      <c r="T77" s="65" t="s">
        <v>1575</v>
      </c>
      <c r="U77" s="45" t="s">
        <v>33</v>
      </c>
    </row>
    <row r="78" spans="1:21" hidden="1">
      <c r="A78" s="58">
        <v>162</v>
      </c>
      <c r="B78" s="61">
        <v>44251</v>
      </c>
      <c r="C78" s="65" t="s">
        <v>2121</v>
      </c>
      <c r="D78" s="65" t="s">
        <v>2121</v>
      </c>
      <c r="E78" s="66" t="s">
        <v>518</v>
      </c>
      <c r="F78" s="22" t="s">
        <v>1590</v>
      </c>
      <c r="G78" s="22" t="s">
        <v>3104</v>
      </c>
      <c r="H78" s="22" t="s">
        <v>3105</v>
      </c>
      <c r="I78" s="22" t="s">
        <v>2119</v>
      </c>
      <c r="J78" s="22" t="s">
        <v>1790</v>
      </c>
      <c r="K78" s="95">
        <v>32345535</v>
      </c>
      <c r="L78" s="50">
        <v>34</v>
      </c>
      <c r="M78" s="22" t="s">
        <v>2123</v>
      </c>
      <c r="N78" s="22" t="s">
        <v>3108</v>
      </c>
      <c r="O78" s="46" t="e">
        <v>#N/A</v>
      </c>
      <c r="P78" s="46" t="e">
        <v>#N/A</v>
      </c>
      <c r="Q78" s="23" t="s">
        <v>3109</v>
      </c>
      <c r="R78" s="65" t="s">
        <v>3110</v>
      </c>
      <c r="S78" s="65" t="s">
        <v>3111</v>
      </c>
      <c r="T78" s="65" t="s">
        <v>1575</v>
      </c>
      <c r="U78" s="45" t="s">
        <v>2892</v>
      </c>
    </row>
    <row r="79" spans="1:21">
      <c r="A79" s="58">
        <v>163</v>
      </c>
      <c r="B79" s="61">
        <v>44251</v>
      </c>
      <c r="C79" s="65" t="s">
        <v>2121</v>
      </c>
      <c r="D79" s="65" t="s">
        <v>2121</v>
      </c>
      <c r="E79" s="66" t="s">
        <v>518</v>
      </c>
      <c r="F79" s="22" t="s">
        <v>1589</v>
      </c>
      <c r="G79" s="22" t="s">
        <v>3106</v>
      </c>
      <c r="H79" s="22" t="s">
        <v>3107</v>
      </c>
      <c r="I79" s="22" t="s">
        <v>2120</v>
      </c>
      <c r="J79" s="22" t="s">
        <v>1790</v>
      </c>
      <c r="K79" s="95" t="s">
        <v>3112</v>
      </c>
      <c r="L79" s="50">
        <v>30</v>
      </c>
      <c r="M79" s="22" t="s">
        <v>2123</v>
      </c>
      <c r="N79" s="22" t="s">
        <v>3108</v>
      </c>
      <c r="O79" s="46" t="e">
        <v>#N/A</v>
      </c>
      <c r="P79" s="46" t="e">
        <v>#N/A</v>
      </c>
      <c r="Q79" s="23" t="s">
        <v>3109</v>
      </c>
      <c r="R79" s="65" t="s">
        <v>3110</v>
      </c>
      <c r="S79" s="65" t="s">
        <v>3111</v>
      </c>
      <c r="T79" s="65" t="s">
        <v>1575</v>
      </c>
      <c r="U79" s="45" t="s">
        <v>2892</v>
      </c>
    </row>
    <row r="80" spans="1:21" hidden="1">
      <c r="A80" s="58">
        <v>169</v>
      </c>
      <c r="B80" s="61">
        <v>44253</v>
      </c>
      <c r="C80" s="65" t="s">
        <v>2121</v>
      </c>
      <c r="D80" s="65" t="s">
        <v>2122</v>
      </c>
      <c r="E80" s="66" t="s">
        <v>518</v>
      </c>
      <c r="F80" s="22" t="s">
        <v>1590</v>
      </c>
      <c r="G80" s="22" t="s">
        <v>3113</v>
      </c>
      <c r="H80" s="22" t="s">
        <v>3114</v>
      </c>
      <c r="I80" s="22" t="s">
        <v>2120</v>
      </c>
      <c r="J80" s="22" t="s">
        <v>1790</v>
      </c>
      <c r="K80" s="95" t="s">
        <v>3024</v>
      </c>
      <c r="L80" s="50">
        <v>27</v>
      </c>
      <c r="M80" s="22" t="s">
        <v>2123</v>
      </c>
      <c r="N80" s="22" t="s">
        <v>3115</v>
      </c>
      <c r="O80" s="46" t="e">
        <v>#N/A</v>
      </c>
      <c r="P80" s="46" t="e">
        <v>#N/A</v>
      </c>
      <c r="Q80" s="23">
        <v>7296</v>
      </c>
      <c r="R80" s="65">
        <v>3</v>
      </c>
      <c r="S80" s="65">
        <v>2</v>
      </c>
      <c r="T80" s="65" t="s">
        <v>1575</v>
      </c>
      <c r="U80" s="45" t="s">
        <v>33</v>
      </c>
    </row>
    <row r="81" spans="1:21" hidden="1">
      <c r="A81" s="58">
        <v>171</v>
      </c>
      <c r="B81" s="61">
        <v>44257</v>
      </c>
      <c r="C81" s="65" t="s">
        <v>2121</v>
      </c>
      <c r="D81" s="65" t="s">
        <v>2122</v>
      </c>
      <c r="E81" s="66" t="s">
        <v>518</v>
      </c>
      <c r="F81" s="22" t="s">
        <v>1590</v>
      </c>
      <c r="G81" s="22" t="s">
        <v>3116</v>
      </c>
      <c r="H81" s="22" t="s">
        <v>3117</v>
      </c>
      <c r="I81" s="22" t="s">
        <v>2119</v>
      </c>
      <c r="J81" s="22" t="s">
        <v>1790</v>
      </c>
      <c r="K81" s="95"/>
      <c r="L81" s="50">
        <v>39</v>
      </c>
      <c r="M81" s="22" t="s">
        <v>2123</v>
      </c>
      <c r="N81" s="22" t="s">
        <v>2514</v>
      </c>
      <c r="O81" s="46" t="str">
        <f>VLOOKUP(N81,Datos!$BJ$5:$BL$334,2,FALSE)</f>
        <v>PROPIEDAD</v>
      </c>
      <c r="P81" s="46" t="str">
        <f>VLOOKUP(N81,Datos!$BJ$5:$BL$334,3,FALSE)</f>
        <v>DAÑOS</v>
      </c>
      <c r="Q81" s="22"/>
      <c r="R81" s="65">
        <v>1</v>
      </c>
      <c r="S81" s="65">
        <v>8</v>
      </c>
      <c r="T81" s="65" t="s">
        <v>1575</v>
      </c>
      <c r="U81" s="45" t="s">
        <v>33</v>
      </c>
    </row>
    <row r="82" spans="1:21" hidden="1">
      <c r="A82" s="58">
        <v>172</v>
      </c>
      <c r="B82" s="61">
        <v>44257</v>
      </c>
      <c r="C82" s="65" t="s">
        <v>2121</v>
      </c>
      <c r="D82" s="65" t="s">
        <v>2122</v>
      </c>
      <c r="E82" s="66" t="s">
        <v>518</v>
      </c>
      <c r="F82" s="22" t="s">
        <v>1590</v>
      </c>
      <c r="G82" s="22" t="s">
        <v>3118</v>
      </c>
      <c r="H82" s="22" t="s">
        <v>3119</v>
      </c>
      <c r="I82" s="22" t="s">
        <v>2120</v>
      </c>
      <c r="J82" s="22" t="s">
        <v>1790</v>
      </c>
      <c r="K82" s="95" t="s">
        <v>3124</v>
      </c>
      <c r="L82" s="50">
        <v>25</v>
      </c>
      <c r="M82" s="22" t="s">
        <v>2123</v>
      </c>
      <c r="N82" s="22" t="s">
        <v>2563</v>
      </c>
      <c r="O82" s="46" t="str">
        <f>VLOOKUP(N82,Datos!$BJ$5:$BL$334,2,FALSE)</f>
        <v>PERSONAS</v>
      </c>
      <c r="P82" s="46" t="str">
        <f>VLOOKUP(N82,Datos!$BJ$5:$BL$334,3,FALSE)</f>
        <v>OTROS (C/LAS PERSONAS)</v>
      </c>
      <c r="Q82" s="22" t="s">
        <v>3122</v>
      </c>
      <c r="R82" s="65">
        <v>1</v>
      </c>
      <c r="S82" s="65">
        <v>5</v>
      </c>
      <c r="T82" s="65" t="s">
        <v>1575</v>
      </c>
      <c r="U82" s="45" t="s">
        <v>33</v>
      </c>
    </row>
    <row r="83" spans="1:21" hidden="1">
      <c r="A83" s="58">
        <v>173</v>
      </c>
      <c r="B83" s="61">
        <v>44257</v>
      </c>
      <c r="C83" s="65" t="s">
        <v>2121</v>
      </c>
      <c r="D83" s="65" t="s">
        <v>2122</v>
      </c>
      <c r="E83" s="66" t="s">
        <v>518</v>
      </c>
      <c r="F83" s="22" t="s">
        <v>1590</v>
      </c>
      <c r="G83" s="22" t="s">
        <v>3120</v>
      </c>
      <c r="H83" s="22" t="s">
        <v>3121</v>
      </c>
      <c r="I83" s="22" t="s">
        <v>2120</v>
      </c>
      <c r="J83" s="22" t="s">
        <v>1790</v>
      </c>
      <c r="K83" s="95" t="s">
        <v>3123</v>
      </c>
      <c r="L83" s="50">
        <v>32</v>
      </c>
      <c r="M83" s="22" t="s">
        <v>2123</v>
      </c>
      <c r="N83" s="22" t="s">
        <v>2563</v>
      </c>
      <c r="O83" s="46" t="str">
        <f>VLOOKUP(N83,Datos!$BJ$5:$BL$334,2,FALSE)</f>
        <v>PERSONAS</v>
      </c>
      <c r="P83" s="46" t="str">
        <f>VLOOKUP(N83,Datos!$BJ$5:$BL$334,3,FALSE)</f>
        <v>OTROS (C/LAS PERSONAS)</v>
      </c>
      <c r="Q83" s="22" t="s">
        <v>3122</v>
      </c>
      <c r="R83" s="65">
        <v>1</v>
      </c>
      <c r="S83" s="65">
        <v>5</v>
      </c>
      <c r="T83" s="65" t="s">
        <v>1575</v>
      </c>
      <c r="U83" s="45" t="s">
        <v>33</v>
      </c>
    </row>
    <row r="84" spans="1:21" hidden="1">
      <c r="A84" s="58">
        <v>174</v>
      </c>
      <c r="B84" s="61">
        <v>44257</v>
      </c>
      <c r="C84" s="65" t="s">
        <v>2121</v>
      </c>
      <c r="D84" s="65" t="s">
        <v>2122</v>
      </c>
      <c r="E84" s="66" t="s">
        <v>518</v>
      </c>
      <c r="F84" s="22" t="s">
        <v>1576</v>
      </c>
      <c r="G84" s="92" t="s">
        <v>3125</v>
      </c>
      <c r="H84" s="67" t="s">
        <v>3126</v>
      </c>
      <c r="I84" s="22" t="s">
        <v>2119</v>
      </c>
      <c r="J84" s="22" t="s">
        <v>1790</v>
      </c>
      <c r="K84" s="95" t="s">
        <v>3130</v>
      </c>
      <c r="L84" s="50">
        <v>26</v>
      </c>
      <c r="M84" s="22" t="s">
        <v>2123</v>
      </c>
      <c r="N84" s="22" t="s">
        <v>2514</v>
      </c>
      <c r="O84" s="46" t="str">
        <f>VLOOKUP(N84,Datos!$BJ$5:$BL$334,2,FALSE)</f>
        <v>PROPIEDAD</v>
      </c>
      <c r="P84" s="46" t="str">
        <f>VLOOKUP(N84,Datos!$BJ$5:$BL$334,3,FALSE)</f>
        <v>DAÑOS</v>
      </c>
      <c r="Q84" s="22" t="s">
        <v>3129</v>
      </c>
      <c r="R84" s="65">
        <v>1</v>
      </c>
      <c r="S84" s="65">
        <v>1</v>
      </c>
      <c r="T84" s="65" t="s">
        <v>1575</v>
      </c>
      <c r="U84" s="45" t="s">
        <v>33</v>
      </c>
    </row>
    <row r="85" spans="1:21" hidden="1">
      <c r="A85" s="58">
        <v>175</v>
      </c>
      <c r="B85" s="61">
        <v>44257</v>
      </c>
      <c r="C85" s="65" t="s">
        <v>2121</v>
      </c>
      <c r="D85" s="65" t="s">
        <v>2122</v>
      </c>
      <c r="E85" s="66" t="s">
        <v>518</v>
      </c>
      <c r="F85" s="22" t="s">
        <v>1576</v>
      </c>
      <c r="G85" s="92" t="s">
        <v>3127</v>
      </c>
      <c r="H85" s="67" t="s">
        <v>3128</v>
      </c>
      <c r="I85" s="22" t="s">
        <v>2120</v>
      </c>
      <c r="J85" s="22" t="s">
        <v>1790</v>
      </c>
      <c r="K85" s="95" t="s">
        <v>3131</v>
      </c>
      <c r="L85" s="50">
        <v>34</v>
      </c>
      <c r="M85" s="22" t="s">
        <v>2123</v>
      </c>
      <c r="N85" s="22" t="s">
        <v>2514</v>
      </c>
      <c r="O85" s="46" t="str">
        <f>VLOOKUP(N85,Datos!$BJ$5:$BL$334,2,FALSE)</f>
        <v>PROPIEDAD</v>
      </c>
      <c r="P85" s="46" t="str">
        <f>VLOOKUP(N85,Datos!$BJ$5:$BL$334,3,FALSE)</f>
        <v>DAÑOS</v>
      </c>
      <c r="Q85" s="22" t="s">
        <v>3129</v>
      </c>
      <c r="R85" s="65">
        <v>1</v>
      </c>
      <c r="S85" s="65">
        <v>1</v>
      </c>
      <c r="T85" s="65" t="s">
        <v>1575</v>
      </c>
      <c r="U85" s="45" t="s">
        <v>33</v>
      </c>
    </row>
    <row r="86" spans="1:21" hidden="1">
      <c r="A86" s="58">
        <v>177</v>
      </c>
      <c r="B86" s="61">
        <v>44258</v>
      </c>
      <c r="C86" s="65" t="s">
        <v>2121</v>
      </c>
      <c r="D86" s="65" t="s">
        <v>2122</v>
      </c>
      <c r="E86" s="66" t="s">
        <v>518</v>
      </c>
      <c r="F86" s="22" t="s">
        <v>1590</v>
      </c>
      <c r="G86" s="22" t="s">
        <v>3132</v>
      </c>
      <c r="H86" s="22" t="s">
        <v>3134</v>
      </c>
      <c r="I86" s="22" t="s">
        <v>2120</v>
      </c>
      <c r="J86" s="22" t="s">
        <v>1790</v>
      </c>
      <c r="K86" s="95">
        <v>28682900</v>
      </c>
      <c r="L86" s="50">
        <v>39</v>
      </c>
      <c r="M86" s="22" t="s">
        <v>2123</v>
      </c>
      <c r="N86" s="22" t="s">
        <v>2366</v>
      </c>
      <c r="O86" s="46" t="str">
        <f>VLOOKUP(N86,Datos!$BJ$5:$BL$334,2,FALSE)</f>
        <v>LIBERTAD</v>
      </c>
      <c r="P86" s="46" t="str">
        <f>VLOOKUP(N86,Datos!$BJ$5:$BL$334,3,FALSE)</f>
        <v>A R AUTORIDAD</v>
      </c>
      <c r="Q86" s="22" t="s">
        <v>3138</v>
      </c>
      <c r="R86" s="65">
        <v>2</v>
      </c>
      <c r="S86" s="65">
        <v>1</v>
      </c>
      <c r="T86" s="65" t="s">
        <v>1575</v>
      </c>
      <c r="U86" s="45" t="s">
        <v>33</v>
      </c>
    </row>
    <row r="87" spans="1:21" hidden="1">
      <c r="A87" s="58">
        <v>178</v>
      </c>
      <c r="B87" s="61">
        <v>44258</v>
      </c>
      <c r="C87" s="65" t="s">
        <v>2121</v>
      </c>
      <c r="D87" s="65" t="s">
        <v>2122</v>
      </c>
      <c r="E87" s="66" t="s">
        <v>518</v>
      </c>
      <c r="F87" s="22" t="s">
        <v>1590</v>
      </c>
      <c r="G87" s="22" t="s">
        <v>3133</v>
      </c>
      <c r="H87" s="22" t="s">
        <v>3135</v>
      </c>
      <c r="I87" s="22" t="s">
        <v>2120</v>
      </c>
      <c r="J87" s="22" t="s">
        <v>1790</v>
      </c>
      <c r="K87" s="95" t="s">
        <v>3136</v>
      </c>
      <c r="L87" s="50">
        <v>30</v>
      </c>
      <c r="M87" s="22" t="s">
        <v>2123</v>
      </c>
      <c r="N87" s="22" t="s">
        <v>2579</v>
      </c>
      <c r="O87" s="46" t="str">
        <f>VLOOKUP(N87,Datos!$BJ$5:$BL$334,2,FALSE)</f>
        <v>PERSONAS</v>
      </c>
      <c r="P87" s="46" t="str">
        <f>VLOOKUP(N87,Datos!$BJ$5:$BL$334,3,FALSE)</f>
        <v>LESIONES</v>
      </c>
      <c r="Q87" s="22" t="s">
        <v>3137</v>
      </c>
      <c r="R87" s="65">
        <v>1</v>
      </c>
      <c r="S87" s="65">
        <v>4</v>
      </c>
      <c r="T87" s="65" t="s">
        <v>1575</v>
      </c>
      <c r="U87" s="45" t="s">
        <v>33</v>
      </c>
    </row>
    <row r="88" spans="1:21">
      <c r="A88" s="58">
        <v>186</v>
      </c>
      <c r="B88" s="61">
        <v>44270</v>
      </c>
      <c r="C88" s="65" t="s">
        <v>2121</v>
      </c>
      <c r="D88" s="65" t="s">
        <v>2122</v>
      </c>
      <c r="E88" s="66" t="s">
        <v>518</v>
      </c>
      <c r="F88" s="22" t="s">
        <v>1589</v>
      </c>
      <c r="G88" s="22" t="s">
        <v>3139</v>
      </c>
      <c r="H88" s="22" t="s">
        <v>3140</v>
      </c>
      <c r="I88" s="22" t="s">
        <v>2119</v>
      </c>
      <c r="J88" s="22" t="s">
        <v>1790</v>
      </c>
      <c r="K88" s="95" t="s">
        <v>3141</v>
      </c>
      <c r="L88" s="50">
        <v>45</v>
      </c>
      <c r="M88" s="22" t="s">
        <v>2123</v>
      </c>
      <c r="N88" s="22" t="s">
        <v>2173</v>
      </c>
      <c r="O88" s="46" t="str">
        <f>VLOOKUP(N88,Datos!$BJ$5:$BL$334,2,FALSE)</f>
        <v>PROPIEDAD</v>
      </c>
      <c r="P88" s="46" t="str">
        <f>VLOOKUP(N88,Datos!$BJ$5:$BL$334,3,FALSE)</f>
        <v>ESTAFA</v>
      </c>
      <c r="Q88" s="22" t="s">
        <v>3142</v>
      </c>
      <c r="R88" s="65">
        <v>1</v>
      </c>
      <c r="S88" s="65">
        <v>4</v>
      </c>
      <c r="T88" s="65" t="s">
        <v>2149</v>
      </c>
      <c r="U88" s="45" t="s">
        <v>33</v>
      </c>
    </row>
    <row r="89" spans="1:21" hidden="1">
      <c r="A89" s="58">
        <v>188</v>
      </c>
      <c r="B89" s="61">
        <v>44272</v>
      </c>
      <c r="C89" s="65" t="s">
        <v>2121</v>
      </c>
      <c r="D89" s="65" t="s">
        <v>2122</v>
      </c>
      <c r="E89" s="66" t="s">
        <v>518</v>
      </c>
      <c r="F89" s="22" t="s">
        <v>1590</v>
      </c>
      <c r="G89" s="22" t="s">
        <v>3072</v>
      </c>
      <c r="H89" s="22" t="s">
        <v>3143</v>
      </c>
      <c r="I89" s="22" t="s">
        <v>2120</v>
      </c>
      <c r="J89" s="22" t="s">
        <v>1790</v>
      </c>
      <c r="K89" s="95">
        <v>40423632</v>
      </c>
      <c r="L89" s="50">
        <v>23</v>
      </c>
      <c r="M89" s="22" t="s">
        <v>2123</v>
      </c>
      <c r="N89" s="22" t="s">
        <v>2171</v>
      </c>
      <c r="O89" s="46" t="s">
        <v>2169</v>
      </c>
      <c r="P89" s="46" t="s">
        <v>2171</v>
      </c>
      <c r="Q89" s="22">
        <v>1547</v>
      </c>
      <c r="R89" s="65">
        <v>2</v>
      </c>
      <c r="S89" s="65">
        <v>2</v>
      </c>
      <c r="T89" s="65" t="s">
        <v>1575</v>
      </c>
      <c r="U89" s="45" t="s">
        <v>33</v>
      </c>
    </row>
    <row r="90" spans="1:21" hidden="1">
      <c r="A90" s="58">
        <v>189</v>
      </c>
      <c r="B90" s="61">
        <v>44272</v>
      </c>
      <c r="C90" s="65" t="s">
        <v>2121</v>
      </c>
      <c r="D90" s="65" t="s">
        <v>2122</v>
      </c>
      <c r="E90" s="66" t="s">
        <v>518</v>
      </c>
      <c r="F90" s="22" t="s">
        <v>1590</v>
      </c>
      <c r="G90" s="22" t="s">
        <v>3144</v>
      </c>
      <c r="H90" s="22" t="s">
        <v>3145</v>
      </c>
      <c r="I90" s="22" t="s">
        <v>2120</v>
      </c>
      <c r="J90" s="22" t="s">
        <v>1790</v>
      </c>
      <c r="K90" s="95">
        <v>39785840</v>
      </c>
      <c r="L90" s="50">
        <v>24</v>
      </c>
      <c r="M90" s="22" t="s">
        <v>2123</v>
      </c>
      <c r="N90" s="22" t="s">
        <v>2171</v>
      </c>
      <c r="O90" s="46" t="s">
        <v>2169</v>
      </c>
      <c r="P90" s="46" t="s">
        <v>2171</v>
      </c>
      <c r="Q90" s="22">
        <v>1547</v>
      </c>
      <c r="R90" s="65">
        <v>2</v>
      </c>
      <c r="S90" s="65">
        <v>2</v>
      </c>
      <c r="T90" s="65" t="s">
        <v>1575</v>
      </c>
      <c r="U90" s="45" t="s">
        <v>33</v>
      </c>
    </row>
    <row r="91" spans="1:21" hidden="1">
      <c r="A91" s="58">
        <v>190</v>
      </c>
      <c r="B91" s="61">
        <v>44273</v>
      </c>
      <c r="C91" s="65" t="s">
        <v>2121</v>
      </c>
      <c r="D91" s="65" t="s">
        <v>2122</v>
      </c>
      <c r="E91" s="66" t="s">
        <v>518</v>
      </c>
      <c r="F91" s="22" t="s">
        <v>1590</v>
      </c>
      <c r="G91" s="22" t="s">
        <v>3146</v>
      </c>
      <c r="H91" s="22" t="s">
        <v>3147</v>
      </c>
      <c r="I91" s="22" t="s">
        <v>2120</v>
      </c>
      <c r="J91" s="22" t="s">
        <v>1790</v>
      </c>
      <c r="K91" s="95">
        <v>36500936</v>
      </c>
      <c r="L91" s="50">
        <v>27</v>
      </c>
      <c r="M91" s="22" t="s">
        <v>2123</v>
      </c>
      <c r="N91" s="22" t="s">
        <v>2518</v>
      </c>
      <c r="O91" s="46" t="str">
        <f>VLOOKUP(N91,Datos!$BJ$5:$BL$334,2,FALSE)</f>
        <v>PERSONAS</v>
      </c>
      <c r="P91" s="46" t="str">
        <f>VLOOKUP(N91,Datos!$BJ$5:$BL$334,3,FALSE)</f>
        <v>LESIONES</v>
      </c>
      <c r="Q91" s="22"/>
      <c r="R91" s="65">
        <v>1</v>
      </c>
      <c r="S91" s="65">
        <v>4</v>
      </c>
      <c r="T91" s="65" t="s">
        <v>1575</v>
      </c>
      <c r="U91" s="45" t="s">
        <v>33</v>
      </c>
    </row>
    <row r="92" spans="1:21" hidden="1">
      <c r="A92" s="58">
        <v>191</v>
      </c>
      <c r="B92" s="61">
        <v>44273</v>
      </c>
      <c r="C92" s="65" t="s">
        <v>2121</v>
      </c>
      <c r="D92" s="65" t="s">
        <v>2122</v>
      </c>
      <c r="E92" s="66" t="s">
        <v>518</v>
      </c>
      <c r="F92" s="22" t="s">
        <v>1590</v>
      </c>
      <c r="G92" s="22" t="s">
        <v>3148</v>
      </c>
      <c r="H92" s="22" t="s">
        <v>2957</v>
      </c>
      <c r="I92" s="22" t="s">
        <v>2120</v>
      </c>
      <c r="J92" s="22" t="s">
        <v>1790</v>
      </c>
      <c r="K92" s="95">
        <v>26543241</v>
      </c>
      <c r="L92" s="50">
        <v>42</v>
      </c>
      <c r="M92" s="22" t="s">
        <v>2123</v>
      </c>
      <c r="N92" s="22" t="s">
        <v>2520</v>
      </c>
      <c r="O92" s="46" t="str">
        <f>VLOOKUP(N92,Datos!$BJ$5:$BL$334,2,FALSE)</f>
        <v>PROPIEDAD</v>
      </c>
      <c r="P92" s="46" t="str">
        <f>VLOOKUP(N92,Datos!$BJ$5:$BL$334,3,FALSE)</f>
        <v>ROBO</v>
      </c>
      <c r="Q92" s="22">
        <v>1286</v>
      </c>
      <c r="R92" s="65">
        <v>1</v>
      </c>
      <c r="S92" s="65">
        <v>2</v>
      </c>
      <c r="T92" s="65" t="s">
        <v>1575</v>
      </c>
      <c r="U92" s="45" t="s">
        <v>33</v>
      </c>
    </row>
    <row r="93" spans="1:21" hidden="1">
      <c r="A93" s="58">
        <v>193</v>
      </c>
      <c r="B93" s="61">
        <v>44277</v>
      </c>
      <c r="C93" s="65" t="s">
        <v>2121</v>
      </c>
      <c r="D93" s="65" t="s">
        <v>2122</v>
      </c>
      <c r="E93" s="66" t="s">
        <v>518</v>
      </c>
      <c r="F93" s="22" t="s">
        <v>1590</v>
      </c>
      <c r="G93" s="22" t="s">
        <v>3149</v>
      </c>
      <c r="H93" s="22" t="s">
        <v>3150</v>
      </c>
      <c r="I93" s="22" t="s">
        <v>2120</v>
      </c>
      <c r="J93" s="22" t="s">
        <v>1790</v>
      </c>
      <c r="K93" s="95" t="s">
        <v>3151</v>
      </c>
      <c r="L93" s="50">
        <v>34</v>
      </c>
      <c r="M93" s="22" t="s">
        <v>2123</v>
      </c>
      <c r="N93" s="22" t="s">
        <v>3152</v>
      </c>
      <c r="O93" s="46" t="e">
        <v>#N/A</v>
      </c>
      <c r="P93" s="46" t="e">
        <v>#N/A</v>
      </c>
      <c r="Q93" s="22">
        <v>1720</v>
      </c>
      <c r="R93" s="65">
        <v>2</v>
      </c>
      <c r="S93" s="65">
        <v>5</v>
      </c>
      <c r="T93" s="65" t="s">
        <v>1575</v>
      </c>
      <c r="U93" s="45" t="s">
        <v>33</v>
      </c>
    </row>
    <row r="94" spans="1:21" hidden="1">
      <c r="A94" s="58">
        <v>195</v>
      </c>
      <c r="B94" s="61">
        <v>44278</v>
      </c>
      <c r="C94" s="65" t="s">
        <v>2121</v>
      </c>
      <c r="D94" s="65" t="s">
        <v>2122</v>
      </c>
      <c r="E94" s="66" t="s">
        <v>518</v>
      </c>
      <c r="F94" s="22" t="s">
        <v>1576</v>
      </c>
      <c r="G94" s="22" t="s">
        <v>3153</v>
      </c>
      <c r="H94" s="22" t="s">
        <v>3154</v>
      </c>
      <c r="I94" s="22" t="s">
        <v>2120</v>
      </c>
      <c r="J94" s="22" t="s">
        <v>1790</v>
      </c>
      <c r="K94" s="95" t="s">
        <v>3160</v>
      </c>
      <c r="L94" s="50">
        <v>20</v>
      </c>
      <c r="M94" s="22" t="s">
        <v>2123</v>
      </c>
      <c r="N94" s="22" t="s">
        <v>2187</v>
      </c>
      <c r="O94" s="46" t="str">
        <f>VLOOKUP(N94,Datos!$BJ$5:$BL$334,2,FALSE)</f>
        <v>ADMINISTRACIÓN PÚBLICA</v>
      </c>
      <c r="P94" s="46" t="str">
        <f>VLOOKUP(N94,Datos!$BJ$5:$BL$334,3,FALSE)</f>
        <v>ENCUBRIMIENTO</v>
      </c>
      <c r="Q94" s="22" t="s">
        <v>3155</v>
      </c>
      <c r="R94" s="65">
        <v>1</v>
      </c>
      <c r="S94" s="65">
        <v>2</v>
      </c>
      <c r="T94" s="65" t="s">
        <v>1575</v>
      </c>
      <c r="U94" s="45" t="s">
        <v>33</v>
      </c>
    </row>
    <row r="95" spans="1:21" hidden="1">
      <c r="A95" s="58">
        <v>196</v>
      </c>
      <c r="B95" s="61">
        <v>44278</v>
      </c>
      <c r="C95" s="65" t="s">
        <v>2121</v>
      </c>
      <c r="D95" s="65" t="s">
        <v>2122</v>
      </c>
      <c r="E95" s="66" t="s">
        <v>518</v>
      </c>
      <c r="F95" s="22" t="s">
        <v>1590</v>
      </c>
      <c r="G95" s="22" t="s">
        <v>3156</v>
      </c>
      <c r="H95" s="22" t="s">
        <v>3157</v>
      </c>
      <c r="I95" s="22" t="s">
        <v>2120</v>
      </c>
      <c r="J95" s="22" t="s">
        <v>1790</v>
      </c>
      <c r="K95" s="95" t="s">
        <v>3159</v>
      </c>
      <c r="L95" s="50">
        <v>27</v>
      </c>
      <c r="M95" s="22" t="s">
        <v>2123</v>
      </c>
      <c r="N95" s="22" t="s">
        <v>2515</v>
      </c>
      <c r="O95" s="46" t="str">
        <f>VLOOKUP(N95,Datos!$BJ$5:$BL$334,2,FALSE)</f>
        <v>OTROS DELITOS</v>
      </c>
      <c r="P95" s="46" t="str">
        <f>VLOOKUP(N95,Datos!$BJ$5:$BL$334,3,FALSE)</f>
        <v>OTROS DELITOS</v>
      </c>
      <c r="Q95" s="22" t="s">
        <v>3158</v>
      </c>
      <c r="R95" s="65">
        <v>1</v>
      </c>
      <c r="S95" s="65">
        <v>4</v>
      </c>
      <c r="T95" s="65" t="s">
        <v>1575</v>
      </c>
      <c r="U95" s="45" t="s">
        <v>33</v>
      </c>
    </row>
    <row r="96" spans="1:21" hidden="1">
      <c r="A96" s="58">
        <v>197</v>
      </c>
      <c r="B96" s="61">
        <v>44279</v>
      </c>
      <c r="C96" s="65" t="s">
        <v>2121</v>
      </c>
      <c r="D96" s="65" t="s">
        <v>2122</v>
      </c>
      <c r="E96" s="66" t="s">
        <v>518</v>
      </c>
      <c r="F96" s="22" t="s">
        <v>1590</v>
      </c>
      <c r="G96" s="22" t="s">
        <v>3161</v>
      </c>
      <c r="H96" s="22" t="s">
        <v>3162</v>
      </c>
      <c r="I96" s="22" t="s">
        <v>2120</v>
      </c>
      <c r="J96" s="22" t="s">
        <v>1790</v>
      </c>
      <c r="K96" s="95" t="s">
        <v>3163</v>
      </c>
      <c r="L96" s="50">
        <v>33</v>
      </c>
      <c r="M96" s="22" t="s">
        <v>2123</v>
      </c>
      <c r="N96" s="22" t="s">
        <v>2518</v>
      </c>
      <c r="O96" s="46" t="str">
        <f>VLOOKUP(N96,Datos!$BJ$5:$BL$334,2,FALSE)</f>
        <v>PERSONAS</v>
      </c>
      <c r="P96" s="46" t="str">
        <f>VLOOKUP(N96,Datos!$BJ$5:$BL$334,3,FALSE)</f>
        <v>LESIONES</v>
      </c>
      <c r="Q96" s="22" t="s">
        <v>3164</v>
      </c>
      <c r="R96" s="65">
        <v>1</v>
      </c>
      <c r="S96" s="65">
        <v>7</v>
      </c>
      <c r="T96" s="65" t="s">
        <v>1575</v>
      </c>
      <c r="U96" s="45" t="s">
        <v>33</v>
      </c>
    </row>
    <row r="97" spans="1:21" hidden="1">
      <c r="A97" s="58">
        <v>198</v>
      </c>
      <c r="B97" s="61">
        <v>44280</v>
      </c>
      <c r="C97" s="65" t="s">
        <v>2121</v>
      </c>
      <c r="D97" s="65" t="s">
        <v>2122</v>
      </c>
      <c r="E97" s="66" t="s">
        <v>518</v>
      </c>
      <c r="F97" s="22" t="s">
        <v>1576</v>
      </c>
      <c r="G97" s="100" t="s">
        <v>3165</v>
      </c>
      <c r="H97" s="101" t="s">
        <v>3166</v>
      </c>
      <c r="I97" s="22" t="s">
        <v>2120</v>
      </c>
      <c r="J97" s="22" t="s">
        <v>1790</v>
      </c>
      <c r="K97" s="95">
        <v>43745197</v>
      </c>
      <c r="L97" s="50">
        <v>20</v>
      </c>
      <c r="M97" s="22" t="s">
        <v>2123</v>
      </c>
      <c r="N97" s="22" t="s">
        <v>3169</v>
      </c>
      <c r="O97" s="46" t="e">
        <f>VLOOKUP(N97,Datos!$BJ$5:$BL$334,2,FALSE)</f>
        <v>#N/A</v>
      </c>
      <c r="P97" s="46" t="e">
        <f>VLOOKUP(N97,Datos!$BJ$5:$BL$334,3,FALSE)</f>
        <v>#N/A</v>
      </c>
      <c r="Q97" s="22" t="s">
        <v>3170</v>
      </c>
      <c r="R97" s="65" t="s">
        <v>3171</v>
      </c>
      <c r="S97" s="65" t="s">
        <v>3007</v>
      </c>
      <c r="T97" s="65" t="s">
        <v>1575</v>
      </c>
      <c r="U97" s="45" t="s">
        <v>33</v>
      </c>
    </row>
    <row r="98" spans="1:21" hidden="1">
      <c r="A98" s="58">
        <v>199</v>
      </c>
      <c r="B98" s="61">
        <v>44280</v>
      </c>
      <c r="C98" s="65" t="s">
        <v>2121</v>
      </c>
      <c r="D98" s="65" t="s">
        <v>2122</v>
      </c>
      <c r="E98" s="66" t="s">
        <v>518</v>
      </c>
      <c r="F98" s="22" t="s">
        <v>1576</v>
      </c>
      <c r="G98" s="100" t="s">
        <v>3167</v>
      </c>
      <c r="H98" s="101" t="s">
        <v>3168</v>
      </c>
      <c r="I98" s="22" t="s">
        <v>2120</v>
      </c>
      <c r="J98" s="22" t="s">
        <v>1790</v>
      </c>
      <c r="K98" s="95">
        <v>28895020</v>
      </c>
      <c r="L98" s="50">
        <v>39</v>
      </c>
      <c r="M98" s="22" t="s">
        <v>2123</v>
      </c>
      <c r="N98" s="22" t="s">
        <v>3169</v>
      </c>
      <c r="O98" s="46" t="e">
        <f>VLOOKUP(N98,Datos!$BJ$5:$BL$334,2,FALSE)</f>
        <v>#N/A</v>
      </c>
      <c r="P98" s="46" t="e">
        <f>VLOOKUP(N98,Datos!$BJ$5:$BL$334,3,FALSE)</f>
        <v>#N/A</v>
      </c>
      <c r="Q98" s="22" t="s">
        <v>3170</v>
      </c>
      <c r="R98" s="65" t="s">
        <v>3171</v>
      </c>
      <c r="S98" s="65" t="s">
        <v>3007</v>
      </c>
      <c r="T98" s="65" t="s">
        <v>1575</v>
      </c>
      <c r="U98" s="45" t="s">
        <v>33</v>
      </c>
    </row>
    <row r="99" spans="1:21" hidden="1">
      <c r="A99" s="58">
        <v>200</v>
      </c>
      <c r="B99" s="61">
        <v>44280</v>
      </c>
      <c r="C99" s="65" t="s">
        <v>2122</v>
      </c>
      <c r="D99" s="65" t="s">
        <v>2121</v>
      </c>
      <c r="E99" s="66" t="s">
        <v>518</v>
      </c>
      <c r="F99" s="22" t="s">
        <v>1576</v>
      </c>
      <c r="G99" s="102" t="s">
        <v>3172</v>
      </c>
      <c r="H99" s="102" t="s">
        <v>3173</v>
      </c>
      <c r="I99" s="22" t="s">
        <v>2119</v>
      </c>
      <c r="J99" s="22" t="s">
        <v>1790</v>
      </c>
      <c r="K99" s="95">
        <v>41145356</v>
      </c>
      <c r="L99" s="50">
        <v>22</v>
      </c>
      <c r="M99" s="22" t="s">
        <v>2123</v>
      </c>
      <c r="N99" s="22" t="s">
        <v>2187</v>
      </c>
      <c r="O99" s="46" t="str">
        <f>VLOOKUP(N99,Datos!$BJ$5:$BL$334,2,FALSE)</f>
        <v>ADMINISTRACIÓN PÚBLICA</v>
      </c>
      <c r="P99" s="46" t="str">
        <f>VLOOKUP(N99,Datos!$BJ$5:$BL$334,3,FALSE)</f>
        <v>ENCUBRIMIENTO</v>
      </c>
      <c r="Q99" s="22" t="s">
        <v>3155</v>
      </c>
      <c r="R99" s="65">
        <v>2</v>
      </c>
      <c r="S99" s="65">
        <v>2</v>
      </c>
      <c r="T99" s="65" t="s">
        <v>1575</v>
      </c>
      <c r="U99" s="45" t="s">
        <v>2929</v>
      </c>
    </row>
    <row r="100" spans="1:21">
      <c r="A100" s="58">
        <v>201</v>
      </c>
      <c r="B100" s="61">
        <v>44280</v>
      </c>
      <c r="C100" s="65" t="s">
        <v>2121</v>
      </c>
      <c r="D100" s="65" t="s">
        <v>2122</v>
      </c>
      <c r="E100" s="66" t="s">
        <v>518</v>
      </c>
      <c r="F100" s="22" t="s">
        <v>1589</v>
      </c>
      <c r="G100" s="22" t="s">
        <v>2870</v>
      </c>
      <c r="H100" s="22" t="s">
        <v>3174</v>
      </c>
      <c r="I100" s="22" t="s">
        <v>2120</v>
      </c>
      <c r="J100" s="22" t="s">
        <v>1790</v>
      </c>
      <c r="K100" s="95"/>
      <c r="L100" s="50">
        <v>25</v>
      </c>
      <c r="M100" s="22" t="s">
        <v>2123</v>
      </c>
      <c r="N100" s="22" t="s">
        <v>2527</v>
      </c>
      <c r="O100" s="46" t="str">
        <f>VLOOKUP(N100,Datos!$BJ$5:$BL$334,2,FALSE)</f>
        <v>LIBERTAD</v>
      </c>
      <c r="P100" s="46" t="str">
        <f>VLOOKUP(N100,Datos!$BJ$5:$BL$334,3,FALSE)</f>
        <v>VIOLACION DE DOMICILIO</v>
      </c>
      <c r="Q100" s="22" t="s">
        <v>3175</v>
      </c>
      <c r="R100" s="65">
        <v>2</v>
      </c>
      <c r="S100" s="65">
        <v>7</v>
      </c>
      <c r="T100" s="65" t="s">
        <v>1575</v>
      </c>
      <c r="U100" s="45" t="s">
        <v>33</v>
      </c>
    </row>
    <row r="101" spans="1:21" hidden="1">
      <c r="A101" s="58">
        <v>202</v>
      </c>
      <c r="B101" s="61">
        <v>44281</v>
      </c>
      <c r="C101" s="65" t="s">
        <v>2121</v>
      </c>
      <c r="D101" s="65" t="s">
        <v>2122</v>
      </c>
      <c r="E101" s="66" t="s">
        <v>518</v>
      </c>
      <c r="F101" s="22" t="s">
        <v>1590</v>
      </c>
      <c r="G101" s="22" t="s">
        <v>3176</v>
      </c>
      <c r="H101" s="22" t="s">
        <v>3177</v>
      </c>
      <c r="I101" s="22" t="s">
        <v>2120</v>
      </c>
      <c r="J101" s="22" t="s">
        <v>1790</v>
      </c>
      <c r="K101" s="95">
        <v>28286305</v>
      </c>
      <c r="L101" s="50">
        <v>40</v>
      </c>
      <c r="M101" s="22" t="s">
        <v>2123</v>
      </c>
      <c r="N101" s="22" t="s">
        <v>2170</v>
      </c>
      <c r="O101" s="46" t="str">
        <f>VLOOKUP(N101,Datos!$BJ$5:$BL$334,2,FALSE)</f>
        <v>PROPIEDAD</v>
      </c>
      <c r="P101" s="46" t="str">
        <f>VLOOKUP(N101,Datos!$BJ$5:$BL$334,3,FALSE)</f>
        <v>OTROS (C/LAS PERSONAS)</v>
      </c>
      <c r="Q101" s="22"/>
      <c r="R101" s="65">
        <v>2</v>
      </c>
      <c r="S101" s="65">
        <v>2</v>
      </c>
      <c r="T101" s="65" t="s">
        <v>1575</v>
      </c>
      <c r="U101" s="45" t="s">
        <v>33</v>
      </c>
    </row>
    <row r="102" spans="1:21">
      <c r="A102" s="58">
        <v>203</v>
      </c>
      <c r="B102" s="61">
        <v>44284</v>
      </c>
      <c r="C102" s="65" t="s">
        <v>2121</v>
      </c>
      <c r="D102" s="65" t="s">
        <v>2122</v>
      </c>
      <c r="E102" s="66" t="s">
        <v>518</v>
      </c>
      <c r="F102" s="22" t="s">
        <v>1589</v>
      </c>
      <c r="G102" s="22" t="s">
        <v>2858</v>
      </c>
      <c r="H102" s="22" t="s">
        <v>3178</v>
      </c>
      <c r="I102" s="22" t="s">
        <v>2119</v>
      </c>
      <c r="J102" s="22" t="s">
        <v>1790</v>
      </c>
      <c r="K102" s="95">
        <v>44454285</v>
      </c>
      <c r="L102" s="50">
        <v>18</v>
      </c>
      <c r="M102" s="22" t="s">
        <v>2123</v>
      </c>
      <c r="N102" s="22" t="s">
        <v>2366</v>
      </c>
      <c r="O102" s="46" t="str">
        <f>VLOOKUP(N102,Datos!$BJ$5:$BL$334,2,FALSE)</f>
        <v>LIBERTAD</v>
      </c>
      <c r="P102" s="46" t="str">
        <f>VLOOKUP(N102,Datos!$BJ$5:$BL$334,3,FALSE)</f>
        <v>A R AUTORIDAD</v>
      </c>
      <c r="Q102" s="22" t="s">
        <v>3175</v>
      </c>
      <c r="R102" s="65">
        <v>2</v>
      </c>
      <c r="S102" s="65">
        <v>8</v>
      </c>
      <c r="T102" s="65" t="s">
        <v>1575</v>
      </c>
      <c r="U102" s="45" t="s">
        <v>33</v>
      </c>
    </row>
    <row r="103" spans="1:21">
      <c r="A103" s="58">
        <v>204</v>
      </c>
      <c r="B103" s="61">
        <v>44284</v>
      </c>
      <c r="C103" s="65" t="s">
        <v>2121</v>
      </c>
      <c r="D103" s="65" t="s">
        <v>2122</v>
      </c>
      <c r="E103" s="66" t="s">
        <v>518</v>
      </c>
      <c r="F103" s="22" t="s">
        <v>1589</v>
      </c>
      <c r="G103" s="22" t="s">
        <v>3179</v>
      </c>
      <c r="H103" s="22" t="s">
        <v>3180</v>
      </c>
      <c r="I103" s="22" t="s">
        <v>2119</v>
      </c>
      <c r="J103" s="22" t="s">
        <v>1790</v>
      </c>
      <c r="K103" s="95">
        <v>42696295</v>
      </c>
      <c r="L103" s="50">
        <v>22</v>
      </c>
      <c r="M103" s="22" t="s">
        <v>2123</v>
      </c>
      <c r="N103" s="22" t="s">
        <v>2520</v>
      </c>
      <c r="O103" s="46" t="str">
        <f>VLOOKUP(N103,Datos!$BJ$5:$BL$334,2,FALSE)</f>
        <v>PROPIEDAD</v>
      </c>
      <c r="P103" s="46" t="str">
        <f>VLOOKUP(N103,Datos!$BJ$5:$BL$334,3,FALSE)</f>
        <v>ROBO</v>
      </c>
      <c r="Q103" s="22" t="s">
        <v>3181</v>
      </c>
      <c r="R103" s="65">
        <v>1</v>
      </c>
      <c r="S103" s="65"/>
      <c r="T103" s="65" t="s">
        <v>1575</v>
      </c>
      <c r="U103" s="45" t="s">
        <v>33</v>
      </c>
    </row>
    <row r="104" spans="1:21" hidden="1">
      <c r="A104" s="58">
        <v>205</v>
      </c>
      <c r="B104" s="61">
        <v>44284</v>
      </c>
      <c r="C104" s="65" t="s">
        <v>2121</v>
      </c>
      <c r="D104" s="65" t="s">
        <v>2122</v>
      </c>
      <c r="E104" s="66" t="s">
        <v>518</v>
      </c>
      <c r="F104" s="22" t="s">
        <v>1590</v>
      </c>
      <c r="G104" s="22" t="s">
        <v>3182</v>
      </c>
      <c r="H104" s="22" t="s">
        <v>3183</v>
      </c>
      <c r="I104" s="22" t="s">
        <v>2120</v>
      </c>
      <c r="J104" s="22" t="s">
        <v>1790</v>
      </c>
      <c r="K104" s="95">
        <v>42541734</v>
      </c>
      <c r="L104" s="50">
        <v>21</v>
      </c>
      <c r="M104" s="22" t="s">
        <v>2123</v>
      </c>
      <c r="N104" s="22" t="s">
        <v>2366</v>
      </c>
      <c r="O104" s="46" t="str">
        <f>VLOOKUP(N104,Datos!$BJ$5:$BL$334,2,FALSE)</f>
        <v>LIBERTAD</v>
      </c>
      <c r="P104" s="46" t="str">
        <f>VLOOKUP(N104,Datos!$BJ$5:$BL$334,3,FALSE)</f>
        <v>A R AUTORIDAD</v>
      </c>
      <c r="Q104" s="22" t="s">
        <v>3175</v>
      </c>
      <c r="R104" s="65">
        <v>2</v>
      </c>
      <c r="S104" s="65">
        <v>8</v>
      </c>
      <c r="T104" s="65" t="s">
        <v>1575</v>
      </c>
      <c r="U104" s="45" t="s">
        <v>33</v>
      </c>
    </row>
    <row r="105" spans="1:21" hidden="1">
      <c r="A105" s="58">
        <v>208</v>
      </c>
      <c r="B105" s="61">
        <v>44286</v>
      </c>
      <c r="C105" s="65" t="s">
        <v>2121</v>
      </c>
      <c r="D105" s="65" t="s">
        <v>2122</v>
      </c>
      <c r="E105" s="66" t="s">
        <v>518</v>
      </c>
      <c r="F105" s="22" t="s">
        <v>1576</v>
      </c>
      <c r="G105" s="22" t="s">
        <v>2924</v>
      </c>
      <c r="H105" s="22" t="s">
        <v>3184</v>
      </c>
      <c r="I105" s="22" t="s">
        <v>2120</v>
      </c>
      <c r="J105" s="22" t="s">
        <v>1790</v>
      </c>
      <c r="K105" s="95" t="s">
        <v>3185</v>
      </c>
      <c r="L105" s="50">
        <v>45</v>
      </c>
      <c r="M105" s="22" t="s">
        <v>2123</v>
      </c>
      <c r="N105" s="22" t="s">
        <v>2386</v>
      </c>
      <c r="O105" s="46" t="str">
        <f>VLOOKUP(N105,Datos!$BJ$5:$BL$334,2,FALSE)</f>
        <v>PERSONAS</v>
      </c>
      <c r="P105" s="46" t="str">
        <f>VLOOKUP(N105,Datos!$BJ$5:$BL$334,3,FALSE)</f>
        <v>OTROS (C/LAS PERSONAS)</v>
      </c>
      <c r="Q105" s="22" t="s">
        <v>3186</v>
      </c>
      <c r="R105" s="65">
        <v>1</v>
      </c>
      <c r="S105" s="65">
        <v>4</v>
      </c>
      <c r="T105" s="65" t="s">
        <v>1575</v>
      </c>
      <c r="U105" s="45" t="s">
        <v>33</v>
      </c>
    </row>
    <row r="106" spans="1:21" hidden="1">
      <c r="A106" s="58">
        <v>209</v>
      </c>
      <c r="B106" s="61">
        <v>44286</v>
      </c>
      <c r="C106" s="65" t="s">
        <v>2121</v>
      </c>
      <c r="D106" s="65" t="s">
        <v>2122</v>
      </c>
      <c r="E106" s="66" t="s">
        <v>518</v>
      </c>
      <c r="F106" s="22" t="s">
        <v>1576</v>
      </c>
      <c r="G106" s="22" t="s">
        <v>2924</v>
      </c>
      <c r="H106" s="22" t="s">
        <v>3187</v>
      </c>
      <c r="I106" s="22" t="s">
        <v>2120</v>
      </c>
      <c r="J106" s="22" t="s">
        <v>1790</v>
      </c>
      <c r="K106" s="95" t="s">
        <v>3188</v>
      </c>
      <c r="L106" s="50">
        <v>23</v>
      </c>
      <c r="M106" s="22" t="s">
        <v>2123</v>
      </c>
      <c r="N106" s="22" t="s">
        <v>2386</v>
      </c>
      <c r="O106" s="46" t="str">
        <f>VLOOKUP(N106,Datos!$BJ$5:$BL$334,2,FALSE)</f>
        <v>PERSONAS</v>
      </c>
      <c r="P106" s="46" t="str">
        <f>VLOOKUP(N106,Datos!$BJ$5:$BL$334,3,FALSE)</f>
        <v>OTROS (C/LAS PERSONAS)</v>
      </c>
      <c r="Q106" s="22" t="s">
        <v>3186</v>
      </c>
      <c r="R106" s="65">
        <v>1</v>
      </c>
      <c r="S106" s="65">
        <v>4</v>
      </c>
      <c r="T106" s="65" t="s">
        <v>1575</v>
      </c>
      <c r="U106" s="45" t="s">
        <v>33</v>
      </c>
    </row>
    <row r="107" spans="1:21" hidden="1">
      <c r="A107" s="58">
        <v>210</v>
      </c>
      <c r="B107" s="61">
        <v>44287</v>
      </c>
      <c r="C107" s="65" t="s">
        <v>2121</v>
      </c>
      <c r="D107" s="65" t="s">
        <v>2122</v>
      </c>
      <c r="E107" s="66" t="s">
        <v>518</v>
      </c>
      <c r="F107" s="22" t="s">
        <v>1576</v>
      </c>
      <c r="G107" s="22" t="s">
        <v>2913</v>
      </c>
      <c r="H107" s="22" t="s">
        <v>3189</v>
      </c>
      <c r="I107" s="22" t="s">
        <v>2120</v>
      </c>
      <c r="J107" s="22" t="s">
        <v>1790</v>
      </c>
      <c r="K107" s="103">
        <v>40717241</v>
      </c>
      <c r="L107" s="50">
        <v>24</v>
      </c>
      <c r="M107" s="22" t="s">
        <v>2123</v>
      </c>
      <c r="N107" s="22" t="s">
        <v>2162</v>
      </c>
      <c r="O107" s="46" t="s">
        <v>2159</v>
      </c>
      <c r="P107" s="46" t="s">
        <v>2162</v>
      </c>
      <c r="Q107" s="22" t="s">
        <v>3190</v>
      </c>
      <c r="R107" s="65">
        <v>2</v>
      </c>
      <c r="S107" s="65">
        <v>8</v>
      </c>
      <c r="T107" s="65" t="s">
        <v>1575</v>
      </c>
      <c r="U107" s="45" t="s">
        <v>3191</v>
      </c>
    </row>
    <row r="108" spans="1:21">
      <c r="A108" s="58">
        <v>211</v>
      </c>
      <c r="B108" s="61">
        <v>44291</v>
      </c>
      <c r="C108" s="65" t="s">
        <v>2121</v>
      </c>
      <c r="D108" s="65" t="s">
        <v>2121</v>
      </c>
      <c r="E108" s="66" t="s">
        <v>518</v>
      </c>
      <c r="F108" s="22" t="s">
        <v>1589</v>
      </c>
      <c r="G108" s="22" t="s">
        <v>3195</v>
      </c>
      <c r="H108" s="22" t="s">
        <v>3192</v>
      </c>
      <c r="I108" s="22" t="s">
        <v>2119</v>
      </c>
      <c r="J108" s="22" t="s">
        <v>1790</v>
      </c>
      <c r="K108" s="95">
        <v>27603772</v>
      </c>
      <c r="L108" s="50">
        <v>41</v>
      </c>
      <c r="M108" s="22" t="s">
        <v>2123</v>
      </c>
      <c r="N108" s="22" t="s">
        <v>2507</v>
      </c>
      <c r="O108" s="46"/>
      <c r="P108" s="46"/>
      <c r="Q108" s="22" t="s">
        <v>3193</v>
      </c>
      <c r="R108" s="65">
        <v>3</v>
      </c>
      <c r="S108" s="65">
        <v>4</v>
      </c>
      <c r="T108" s="65" t="s">
        <v>1575</v>
      </c>
      <c r="U108" s="45" t="s">
        <v>3194</v>
      </c>
    </row>
    <row r="109" spans="1:21" hidden="1">
      <c r="A109" s="58">
        <v>212</v>
      </c>
      <c r="B109" s="61">
        <v>44291</v>
      </c>
      <c r="C109" s="65" t="s">
        <v>2121</v>
      </c>
      <c r="D109" s="65" t="s">
        <v>2122</v>
      </c>
      <c r="E109" s="66" t="s">
        <v>518</v>
      </c>
      <c r="F109" s="22" t="s">
        <v>1590</v>
      </c>
      <c r="G109" s="22" t="s">
        <v>3113</v>
      </c>
      <c r="H109" s="22" t="s">
        <v>3196</v>
      </c>
      <c r="I109" s="22" t="s">
        <v>2120</v>
      </c>
      <c r="J109" s="22" t="s">
        <v>1790</v>
      </c>
      <c r="K109" s="95">
        <v>36495154</v>
      </c>
      <c r="L109" s="50">
        <v>29</v>
      </c>
      <c r="M109" s="22" t="s">
        <v>2123</v>
      </c>
      <c r="N109" s="22" t="s">
        <v>2162</v>
      </c>
      <c r="O109" s="46" t="s">
        <v>2159</v>
      </c>
      <c r="P109" s="46" t="s">
        <v>2162</v>
      </c>
      <c r="Q109" s="22" t="s">
        <v>3197</v>
      </c>
      <c r="R109" s="65" t="s">
        <v>2883</v>
      </c>
      <c r="S109" s="65" t="s">
        <v>2901</v>
      </c>
      <c r="T109" s="65" t="s">
        <v>1575</v>
      </c>
      <c r="U109" s="45" t="s">
        <v>33</v>
      </c>
    </row>
    <row r="110" spans="1:21" hidden="1">
      <c r="A110" s="58">
        <v>213</v>
      </c>
      <c r="B110" s="61">
        <v>44291</v>
      </c>
      <c r="C110" s="65" t="s">
        <v>2121</v>
      </c>
      <c r="D110" s="65" t="s">
        <v>2122</v>
      </c>
      <c r="E110" s="66" t="s">
        <v>518</v>
      </c>
      <c r="F110" s="22" t="s">
        <v>1590</v>
      </c>
      <c r="G110" s="22" t="s">
        <v>3198</v>
      </c>
      <c r="H110" s="22" t="s">
        <v>3199</v>
      </c>
      <c r="I110" s="22" t="s">
        <v>2120</v>
      </c>
      <c r="J110" s="22" t="s">
        <v>1790</v>
      </c>
      <c r="K110" s="95" t="s">
        <v>3200</v>
      </c>
      <c r="L110" s="50">
        <v>28</v>
      </c>
      <c r="M110" s="22" t="s">
        <v>2123</v>
      </c>
      <c r="N110" s="22" t="s">
        <v>2171</v>
      </c>
      <c r="O110" s="46" t="s">
        <v>2169</v>
      </c>
      <c r="P110" s="46" t="s">
        <v>2171</v>
      </c>
      <c r="Q110" s="22" t="s">
        <v>3201</v>
      </c>
      <c r="R110" s="65" t="s">
        <v>2893</v>
      </c>
      <c r="S110" s="65" t="s">
        <v>2882</v>
      </c>
      <c r="T110" s="65" t="s">
        <v>1575</v>
      </c>
      <c r="U110" s="45" t="s">
        <v>33</v>
      </c>
    </row>
    <row r="111" spans="1:21" hidden="1">
      <c r="A111" s="58">
        <v>214</v>
      </c>
      <c r="B111" s="61">
        <v>44291</v>
      </c>
      <c r="C111" s="65" t="s">
        <v>2121</v>
      </c>
      <c r="D111" s="65" t="s">
        <v>2122</v>
      </c>
      <c r="E111" s="66" t="s">
        <v>518</v>
      </c>
      <c r="F111" s="22" t="s">
        <v>1590</v>
      </c>
      <c r="G111" s="22" t="s">
        <v>2984</v>
      </c>
      <c r="H111" s="22" t="s">
        <v>3202</v>
      </c>
      <c r="I111" s="22" t="s">
        <v>2120</v>
      </c>
      <c r="J111" s="22" t="s">
        <v>1790</v>
      </c>
      <c r="K111" s="95" t="s">
        <v>3203</v>
      </c>
      <c r="L111" s="50">
        <v>27</v>
      </c>
      <c r="M111" s="22" t="s">
        <v>2123</v>
      </c>
      <c r="N111" s="22" t="s">
        <v>3204</v>
      </c>
      <c r="O111" s="46" t="e">
        <v>#N/A</v>
      </c>
      <c r="P111" s="46" t="e">
        <v>#N/A</v>
      </c>
      <c r="Q111" s="22" t="s">
        <v>3205</v>
      </c>
      <c r="R111" s="65" t="s">
        <v>2882</v>
      </c>
      <c r="S111" s="65" t="s">
        <v>2883</v>
      </c>
      <c r="T111" s="65" t="s">
        <v>1575</v>
      </c>
      <c r="U111" s="45" t="s">
        <v>33</v>
      </c>
    </row>
    <row r="112" spans="1:21" hidden="1">
      <c r="A112" s="58">
        <v>215</v>
      </c>
      <c r="B112" s="61">
        <v>44291</v>
      </c>
      <c r="C112" s="65" t="s">
        <v>2121</v>
      </c>
      <c r="D112" s="65" t="s">
        <v>2122</v>
      </c>
      <c r="E112" s="66" t="s">
        <v>518</v>
      </c>
      <c r="F112" s="22" t="s">
        <v>1590</v>
      </c>
      <c r="G112" s="22" t="s">
        <v>3206</v>
      </c>
      <c r="H112" s="22" t="s">
        <v>3207</v>
      </c>
      <c r="I112" s="22" t="s">
        <v>2120</v>
      </c>
      <c r="J112" s="22" t="s">
        <v>1790</v>
      </c>
      <c r="K112" s="95" t="s">
        <v>3208</v>
      </c>
      <c r="L112" s="50">
        <v>24</v>
      </c>
      <c r="M112" s="22" t="s">
        <v>3209</v>
      </c>
      <c r="N112" s="22" t="s">
        <v>3210</v>
      </c>
      <c r="O112" s="46" t="s">
        <v>2169</v>
      </c>
      <c r="P112" s="46"/>
      <c r="Q112" s="22" t="s">
        <v>3211</v>
      </c>
      <c r="R112" s="65" t="s">
        <v>2882</v>
      </c>
      <c r="S112" s="65" t="s">
        <v>2901</v>
      </c>
      <c r="T112" s="65" t="s">
        <v>1575</v>
      </c>
      <c r="U112" s="45" t="s">
        <v>33</v>
      </c>
    </row>
    <row r="113" spans="1:21">
      <c r="A113" s="58">
        <v>217</v>
      </c>
      <c r="B113" s="61">
        <v>44292</v>
      </c>
      <c r="C113" s="65" t="s">
        <v>2121</v>
      </c>
      <c r="D113" s="65" t="s">
        <v>2122</v>
      </c>
      <c r="E113" s="66" t="s">
        <v>518</v>
      </c>
      <c r="F113" s="22" t="s">
        <v>1589</v>
      </c>
      <c r="G113" s="22" t="s">
        <v>3212</v>
      </c>
      <c r="H113" s="22" t="s">
        <v>3213</v>
      </c>
      <c r="I113" s="22" t="s">
        <v>2119</v>
      </c>
      <c r="J113" s="22" t="s">
        <v>1790</v>
      </c>
      <c r="K113" s="95">
        <v>39785908</v>
      </c>
      <c r="L113" s="50">
        <v>24</v>
      </c>
      <c r="M113" s="22" t="s">
        <v>2123</v>
      </c>
      <c r="N113" s="22" t="s">
        <v>3214</v>
      </c>
      <c r="O113" s="46"/>
      <c r="P113" s="46"/>
      <c r="Q113" s="22" t="s">
        <v>3215</v>
      </c>
      <c r="R113" s="65">
        <v>2</v>
      </c>
      <c r="S113" s="65">
        <v>8</v>
      </c>
      <c r="T113" s="65" t="s">
        <v>1575</v>
      </c>
      <c r="U113" s="45" t="s">
        <v>33</v>
      </c>
    </row>
    <row r="114" spans="1:21" hidden="1">
      <c r="A114" s="58">
        <v>219</v>
      </c>
      <c r="B114" s="61">
        <v>44295</v>
      </c>
      <c r="C114" s="65" t="s">
        <v>2121</v>
      </c>
      <c r="D114" s="65" t="s">
        <v>2122</v>
      </c>
      <c r="E114" s="66" t="s">
        <v>518</v>
      </c>
      <c r="F114" s="22" t="s">
        <v>1590</v>
      </c>
      <c r="G114" s="22" t="s">
        <v>3216</v>
      </c>
      <c r="H114" s="22" t="s">
        <v>3217</v>
      </c>
      <c r="I114" s="22" t="s">
        <v>2120</v>
      </c>
      <c r="J114" s="22" t="s">
        <v>1790</v>
      </c>
      <c r="K114" s="95" t="s">
        <v>3218</v>
      </c>
      <c r="L114" s="50">
        <v>20</v>
      </c>
      <c r="M114" s="22" t="s">
        <v>2123</v>
      </c>
      <c r="N114" s="22" t="s">
        <v>3219</v>
      </c>
      <c r="O114" s="46" t="s">
        <v>2159</v>
      </c>
      <c r="P114" s="46" t="s">
        <v>3220</v>
      </c>
      <c r="Q114" s="22" t="s">
        <v>3221</v>
      </c>
      <c r="R114" s="65" t="s">
        <v>2882</v>
      </c>
      <c r="S114" s="65" t="s">
        <v>2901</v>
      </c>
      <c r="T114" s="65" t="s">
        <v>1575</v>
      </c>
      <c r="U114" s="45" t="s">
        <v>33</v>
      </c>
    </row>
    <row r="115" spans="1:21" hidden="1">
      <c r="A115" s="58">
        <v>220</v>
      </c>
      <c r="B115" s="61">
        <v>44298</v>
      </c>
      <c r="C115" s="65" t="s">
        <v>2121</v>
      </c>
      <c r="D115" s="65" t="s">
        <v>2122</v>
      </c>
      <c r="E115" s="66" t="s">
        <v>518</v>
      </c>
      <c r="F115" s="22" t="s">
        <v>1576</v>
      </c>
      <c r="G115" s="22" t="s">
        <v>3222</v>
      </c>
      <c r="H115" s="22" t="s">
        <v>3223</v>
      </c>
      <c r="I115" s="22" t="s">
        <v>2120</v>
      </c>
      <c r="J115" s="22" t="s">
        <v>1790</v>
      </c>
      <c r="K115" s="95">
        <v>27603773</v>
      </c>
      <c r="L115" s="50">
        <v>43</v>
      </c>
      <c r="M115" s="22" t="s">
        <v>2123</v>
      </c>
      <c r="N115" s="22" t="s">
        <v>2515</v>
      </c>
      <c r="O115" s="46" t="str">
        <f>VLOOKUP(N115,Datos!$BJ$5:$BL$334,2,FALSE)</f>
        <v>OTROS DELITOS</v>
      </c>
      <c r="P115" s="46" t="str">
        <f>VLOOKUP(N115,Datos!$BJ$5:$BL$334,3,FALSE)</f>
        <v>OTROS DELITOS</v>
      </c>
      <c r="Q115" s="22" t="s">
        <v>3228</v>
      </c>
      <c r="R115" s="65">
        <v>3</v>
      </c>
      <c r="S115" s="65">
        <v>5</v>
      </c>
      <c r="T115" s="65" t="s">
        <v>1575</v>
      </c>
      <c r="U115" s="45" t="s">
        <v>33</v>
      </c>
    </row>
    <row r="116" spans="1:21" hidden="1">
      <c r="A116" s="58">
        <v>221</v>
      </c>
      <c r="B116" s="61">
        <v>44298</v>
      </c>
      <c r="C116" s="65" t="s">
        <v>2121</v>
      </c>
      <c r="D116" s="65" t="s">
        <v>2122</v>
      </c>
      <c r="E116" s="66" t="s">
        <v>518</v>
      </c>
      <c r="F116" s="22" t="s">
        <v>1576</v>
      </c>
      <c r="G116" s="22" t="s">
        <v>3224</v>
      </c>
      <c r="H116" s="22" t="s">
        <v>3225</v>
      </c>
      <c r="I116" s="22" t="s">
        <v>2120</v>
      </c>
      <c r="J116" s="22" t="s">
        <v>1790</v>
      </c>
      <c r="K116" s="95">
        <v>41025259</v>
      </c>
      <c r="L116" s="50">
        <v>23</v>
      </c>
      <c r="M116" s="22" t="s">
        <v>2123</v>
      </c>
      <c r="N116" s="22" t="s">
        <v>2515</v>
      </c>
      <c r="O116" s="46" t="str">
        <f>VLOOKUP(N116,Datos!$BJ$5:$BL$334,2,FALSE)</f>
        <v>OTROS DELITOS</v>
      </c>
      <c r="P116" s="46" t="str">
        <f>VLOOKUP(N116,Datos!$BJ$5:$BL$334,3,FALSE)</f>
        <v>OTROS DELITOS</v>
      </c>
      <c r="Q116" s="22" t="s">
        <v>3229</v>
      </c>
      <c r="R116" s="65">
        <v>3</v>
      </c>
      <c r="S116" s="65">
        <v>5</v>
      </c>
      <c r="T116" s="65" t="s">
        <v>1575</v>
      </c>
      <c r="U116" s="45" t="s">
        <v>33</v>
      </c>
    </row>
    <row r="117" spans="1:21" hidden="1">
      <c r="A117" s="58">
        <v>222</v>
      </c>
      <c r="B117" s="61">
        <v>44298</v>
      </c>
      <c r="C117" s="65" t="s">
        <v>2121</v>
      </c>
      <c r="D117" s="65" t="s">
        <v>2122</v>
      </c>
      <c r="E117" s="66" t="s">
        <v>518</v>
      </c>
      <c r="F117" s="22" t="s">
        <v>1576</v>
      </c>
      <c r="G117" s="22" t="s">
        <v>3226</v>
      </c>
      <c r="H117" s="22" t="s">
        <v>3227</v>
      </c>
      <c r="I117" s="22" t="s">
        <v>2120</v>
      </c>
      <c r="J117" s="22" t="s">
        <v>1790</v>
      </c>
      <c r="K117" s="95">
        <v>29638653</v>
      </c>
      <c r="L117" s="50">
        <v>39</v>
      </c>
      <c r="M117" s="22" t="s">
        <v>2123</v>
      </c>
      <c r="N117" s="22" t="s">
        <v>2518</v>
      </c>
      <c r="O117" s="46" t="str">
        <f>VLOOKUP(N117,Datos!$BJ$5:$BL$334,2,FALSE)</f>
        <v>PERSONAS</v>
      </c>
      <c r="P117" s="46" t="str">
        <f>VLOOKUP(N117,Datos!$BJ$5:$BL$334,3,FALSE)</f>
        <v>LESIONES</v>
      </c>
      <c r="Q117" s="22" t="s">
        <v>3230</v>
      </c>
      <c r="R117" s="65">
        <v>3</v>
      </c>
      <c r="S117" s="65">
        <v>4</v>
      </c>
      <c r="T117" s="65" t="s">
        <v>1575</v>
      </c>
      <c r="U117" s="45" t="s">
        <v>33</v>
      </c>
    </row>
    <row r="118" spans="1:21" hidden="1">
      <c r="A118" s="58">
        <v>225</v>
      </c>
      <c r="B118" s="61">
        <v>44299</v>
      </c>
      <c r="C118" s="65" t="s">
        <v>2121</v>
      </c>
      <c r="D118" s="65" t="s">
        <v>2122</v>
      </c>
      <c r="E118" s="66" t="s">
        <v>518</v>
      </c>
      <c r="F118" s="22" t="s">
        <v>1590</v>
      </c>
      <c r="G118" s="22" t="s">
        <v>3231</v>
      </c>
      <c r="H118" s="22" t="s">
        <v>3232</v>
      </c>
      <c r="I118" s="22" t="s">
        <v>2120</v>
      </c>
      <c r="J118" s="22" t="s">
        <v>1790</v>
      </c>
      <c r="K118" s="95">
        <v>92726801</v>
      </c>
      <c r="L118" s="50">
        <v>45</v>
      </c>
      <c r="M118" s="22" t="s">
        <v>2126</v>
      </c>
      <c r="N118" s="22" t="s">
        <v>2366</v>
      </c>
      <c r="O118" s="46" t="str">
        <f>VLOOKUP(N118,Datos!$BJ$5:$BL$334,2,FALSE)</f>
        <v>LIBERTAD</v>
      </c>
      <c r="P118" s="46" t="str">
        <f>VLOOKUP(N118,Datos!$BJ$5:$BL$334,3,FALSE)</f>
        <v>A R AUTORIDAD</v>
      </c>
      <c r="Q118" s="22" t="s">
        <v>3234</v>
      </c>
      <c r="R118" s="65">
        <v>5</v>
      </c>
      <c r="S118" s="65">
        <v>3</v>
      </c>
      <c r="T118" s="65" t="s">
        <v>1575</v>
      </c>
      <c r="U118" s="45" t="s">
        <v>33</v>
      </c>
    </row>
    <row r="119" spans="1:21" hidden="1">
      <c r="A119" s="58">
        <v>226</v>
      </c>
      <c r="B119" s="61">
        <v>44299</v>
      </c>
      <c r="C119" s="65" t="s">
        <v>2121</v>
      </c>
      <c r="D119" s="65" t="s">
        <v>2122</v>
      </c>
      <c r="E119" s="66" t="s">
        <v>518</v>
      </c>
      <c r="F119" s="22" t="s">
        <v>1590</v>
      </c>
      <c r="G119" s="22" t="s">
        <v>3172</v>
      </c>
      <c r="H119" s="22" t="s">
        <v>3233</v>
      </c>
      <c r="I119" s="22" t="s">
        <v>2120</v>
      </c>
      <c r="J119" s="22" t="s">
        <v>1790</v>
      </c>
      <c r="K119" s="95">
        <v>27666889</v>
      </c>
      <c r="L119" s="50">
        <v>41</v>
      </c>
      <c r="M119" s="22" t="s">
        <v>2123</v>
      </c>
      <c r="N119" s="22" t="s">
        <v>2562</v>
      </c>
      <c r="O119" s="46" t="str">
        <f>VLOOKUP(N119,Datos!$BJ$5:$BL$334,2,FALSE)</f>
        <v>PROPIEDAD</v>
      </c>
      <c r="P119" s="46" t="str">
        <f>VLOOKUP(N119,Datos!$BJ$5:$BL$334,3,FALSE)</f>
        <v>OTROS (C/PROPIEDAD)</v>
      </c>
      <c r="Q119" s="22">
        <v>818489</v>
      </c>
      <c r="R119" s="65" t="s">
        <v>3235</v>
      </c>
      <c r="S119" s="65"/>
      <c r="T119" s="65" t="s">
        <v>1575</v>
      </c>
      <c r="U119" s="45" t="s">
        <v>33</v>
      </c>
    </row>
    <row r="120" spans="1:21" hidden="1">
      <c r="A120" s="58">
        <v>228</v>
      </c>
      <c r="B120" s="61">
        <v>44301</v>
      </c>
      <c r="C120" s="65" t="s">
        <v>2121</v>
      </c>
      <c r="D120" s="65" t="s">
        <v>2122</v>
      </c>
      <c r="E120" s="66" t="s">
        <v>518</v>
      </c>
      <c r="F120" s="22" t="s">
        <v>1590</v>
      </c>
      <c r="G120" s="22" t="s">
        <v>3072</v>
      </c>
      <c r="H120" s="22" t="s">
        <v>3073</v>
      </c>
      <c r="I120" s="22" t="s">
        <v>2120</v>
      </c>
      <c r="J120" s="22" t="s">
        <v>1790</v>
      </c>
      <c r="K120" s="95">
        <v>43800350</v>
      </c>
      <c r="L120" s="50">
        <v>19</v>
      </c>
      <c r="M120" s="22" t="s">
        <v>2123</v>
      </c>
      <c r="N120" s="22" t="s">
        <v>3240</v>
      </c>
      <c r="O120" s="46" t="s">
        <v>2159</v>
      </c>
      <c r="P120" s="46" t="s">
        <v>3242</v>
      </c>
      <c r="Q120" s="22" t="s">
        <v>3243</v>
      </c>
      <c r="R120" s="65">
        <v>2</v>
      </c>
      <c r="S120" s="65">
        <v>4</v>
      </c>
      <c r="T120" s="65" t="s">
        <v>1575</v>
      </c>
      <c r="U120" s="45" t="s">
        <v>33</v>
      </c>
    </row>
    <row r="121" spans="1:21" hidden="1">
      <c r="A121" s="58">
        <v>229</v>
      </c>
      <c r="B121" s="61">
        <v>44301</v>
      </c>
      <c r="C121" s="65" t="s">
        <v>2121</v>
      </c>
      <c r="D121" s="65" t="s">
        <v>2122</v>
      </c>
      <c r="E121" s="66" t="s">
        <v>518</v>
      </c>
      <c r="F121" s="22" t="s">
        <v>1590</v>
      </c>
      <c r="G121" s="22" t="s">
        <v>3236</v>
      </c>
      <c r="H121" s="22" t="s">
        <v>3238</v>
      </c>
      <c r="I121" s="22" t="s">
        <v>2120</v>
      </c>
      <c r="J121" s="22" t="s">
        <v>1790</v>
      </c>
      <c r="K121" s="95">
        <v>37951413</v>
      </c>
      <c r="L121" s="50">
        <v>26</v>
      </c>
      <c r="M121" s="22" t="s">
        <v>2123</v>
      </c>
      <c r="N121" s="22" t="s">
        <v>2369</v>
      </c>
      <c r="O121" s="46" t="str">
        <f>VLOOKUP(N121,Datos!$BJ$5:$BL$334,2,FALSE)</f>
        <v>LEY 23737</v>
      </c>
      <c r="P121" s="46" t="str">
        <f>VLOOKUP(N121,Datos!$BJ$5:$BL$334,3,FALSE)</f>
        <v>LEY 23737</v>
      </c>
      <c r="Q121" s="22"/>
      <c r="R121" s="65">
        <v>3</v>
      </c>
      <c r="S121" s="65">
        <v>2</v>
      </c>
      <c r="T121" s="65" t="s">
        <v>1575</v>
      </c>
      <c r="U121" s="45" t="s">
        <v>33</v>
      </c>
    </row>
    <row r="122" spans="1:21" hidden="1">
      <c r="A122" s="58">
        <v>230</v>
      </c>
      <c r="B122" s="61">
        <v>44301</v>
      </c>
      <c r="C122" s="65" t="s">
        <v>2121</v>
      </c>
      <c r="D122" s="65" t="s">
        <v>2122</v>
      </c>
      <c r="E122" s="66" t="s">
        <v>518</v>
      </c>
      <c r="F122" s="22" t="s">
        <v>1590</v>
      </c>
      <c r="G122" s="22" t="s">
        <v>3237</v>
      </c>
      <c r="H122" s="22" t="s">
        <v>3239</v>
      </c>
      <c r="I122" s="22" t="s">
        <v>2120</v>
      </c>
      <c r="J122" s="22" t="s">
        <v>1790</v>
      </c>
      <c r="K122" s="95">
        <v>29638653</v>
      </c>
      <c r="L122" s="50">
        <v>29</v>
      </c>
      <c r="M122" s="22" t="s">
        <v>2123</v>
      </c>
      <c r="N122" s="22" t="s">
        <v>3241</v>
      </c>
      <c r="O122" s="46" t="e">
        <f>VLOOKUP(N122,Datos!$BJ$5:$BL$334,2,FALSE)</f>
        <v>#N/A</v>
      </c>
      <c r="P122" s="46" t="e">
        <f>VLOOKUP(N122,Datos!$BJ$5:$BL$334,3,FALSE)</f>
        <v>#N/A</v>
      </c>
      <c r="Q122" s="22" t="s">
        <v>3244</v>
      </c>
      <c r="R122" s="65">
        <v>3</v>
      </c>
      <c r="S122" s="65">
        <v>5</v>
      </c>
      <c r="T122" s="65" t="s">
        <v>1575</v>
      </c>
      <c r="U122" s="45" t="s">
        <v>33</v>
      </c>
    </row>
    <row r="123" spans="1:21">
      <c r="A123" s="58">
        <v>235</v>
      </c>
      <c r="B123" s="61">
        <v>44312</v>
      </c>
      <c r="C123" s="65" t="s">
        <v>2121</v>
      </c>
      <c r="D123" s="65" t="s">
        <v>2122</v>
      </c>
      <c r="E123" s="66" t="s">
        <v>518</v>
      </c>
      <c r="F123" s="22" t="s">
        <v>1589</v>
      </c>
      <c r="G123" s="112" t="s">
        <v>3245</v>
      </c>
      <c r="H123" s="22" t="s">
        <v>3246</v>
      </c>
      <c r="I123" s="22" t="s">
        <v>2119</v>
      </c>
      <c r="J123" s="22" t="s">
        <v>1790</v>
      </c>
      <c r="K123" s="95">
        <v>34631515</v>
      </c>
      <c r="L123" s="50">
        <v>31</v>
      </c>
      <c r="M123" s="22" t="s">
        <v>2123</v>
      </c>
      <c r="N123" s="22" t="s">
        <v>2162</v>
      </c>
      <c r="O123" s="46"/>
      <c r="P123" s="46"/>
      <c r="Q123" s="22" t="s">
        <v>3247</v>
      </c>
      <c r="R123" s="65" t="s">
        <v>3248</v>
      </c>
      <c r="S123" s="65" t="s">
        <v>3249</v>
      </c>
      <c r="T123" s="65" t="s">
        <v>1575</v>
      </c>
      <c r="U123" s="45" t="s">
        <v>33</v>
      </c>
    </row>
    <row r="124" spans="1:21" hidden="1">
      <c r="A124" s="58">
        <v>242</v>
      </c>
      <c r="B124" s="61">
        <v>44327</v>
      </c>
      <c r="C124" s="65" t="s">
        <v>2121</v>
      </c>
      <c r="D124" s="65" t="s">
        <v>2122</v>
      </c>
      <c r="E124" s="66" t="s">
        <v>518</v>
      </c>
      <c r="F124" s="22" t="s">
        <v>1590</v>
      </c>
      <c r="G124" s="22" t="s">
        <v>3251</v>
      </c>
      <c r="H124" s="102" t="s">
        <v>3031</v>
      </c>
      <c r="I124" s="22" t="s">
        <v>2120</v>
      </c>
      <c r="J124" s="22" t="s">
        <v>1790</v>
      </c>
      <c r="K124" s="95"/>
      <c r="L124" s="50">
        <v>19</v>
      </c>
      <c r="M124" s="22" t="s">
        <v>2123</v>
      </c>
      <c r="N124" s="22" t="s">
        <v>2569</v>
      </c>
      <c r="O124" s="46" t="str">
        <f>VLOOKUP(N124,Datos!$BJ$5:$BL$334,2,FALSE)</f>
        <v>PERSONAS</v>
      </c>
      <c r="P124" s="46" t="str">
        <f>VLOOKUP(N124,Datos!$BJ$5:$BL$334,3,FALSE)</f>
        <v>AB ARMA</v>
      </c>
      <c r="Q124" s="22" t="s">
        <v>3252</v>
      </c>
      <c r="R124" s="65">
        <v>1</v>
      </c>
      <c r="S124" s="65">
        <v>1</v>
      </c>
      <c r="T124" s="65" t="s">
        <v>1575</v>
      </c>
      <c r="U124" s="45" t="s">
        <v>33</v>
      </c>
    </row>
    <row r="125" spans="1:21" hidden="1">
      <c r="A125" s="58">
        <v>243</v>
      </c>
      <c r="B125" s="61">
        <v>44328</v>
      </c>
      <c r="C125" s="65" t="s">
        <v>2121</v>
      </c>
      <c r="D125" s="65" t="s">
        <v>2122</v>
      </c>
      <c r="E125" s="66" t="s">
        <v>518</v>
      </c>
      <c r="F125" s="22" t="s">
        <v>1590</v>
      </c>
      <c r="G125" s="22" t="s">
        <v>2891</v>
      </c>
      <c r="H125" s="22" t="s">
        <v>3253</v>
      </c>
      <c r="I125" s="22" t="s">
        <v>2120</v>
      </c>
      <c r="J125" s="22" t="s">
        <v>1790</v>
      </c>
      <c r="K125" s="95">
        <v>28150531</v>
      </c>
      <c r="L125" s="50">
        <v>40</v>
      </c>
      <c r="M125" s="22" t="s">
        <v>2123</v>
      </c>
      <c r="N125" s="22" t="s">
        <v>2171</v>
      </c>
      <c r="O125" s="46" t="str">
        <f>VLOOKUP(N125,Datos!$BJ$5:$BL$334,2,FALSE)</f>
        <v>PROPIEDAD</v>
      </c>
      <c r="P125" s="46" t="str">
        <f>VLOOKUP(N125,Datos!$BJ$5:$BL$334,3,FALSE)</f>
        <v>ROBO</v>
      </c>
      <c r="Q125" s="22" t="s">
        <v>3254</v>
      </c>
      <c r="R125" s="65">
        <v>1</v>
      </c>
      <c r="S125" s="65">
        <v>3</v>
      </c>
      <c r="T125" s="65" t="s">
        <v>1575</v>
      </c>
      <c r="U125" s="45" t="s">
        <v>33</v>
      </c>
    </row>
    <row r="126" spans="1:21" hidden="1">
      <c r="A126" s="58">
        <v>244</v>
      </c>
      <c r="B126" s="61">
        <v>44329</v>
      </c>
      <c r="C126" s="65" t="s">
        <v>2122</v>
      </c>
      <c r="D126" s="65" t="s">
        <v>2121</v>
      </c>
      <c r="E126" s="66" t="s">
        <v>518</v>
      </c>
      <c r="F126" s="22" t="s">
        <v>1590</v>
      </c>
      <c r="G126" s="22" t="s">
        <v>3255</v>
      </c>
      <c r="H126" s="22" t="s">
        <v>3256</v>
      </c>
      <c r="I126" s="22" t="s">
        <v>2120</v>
      </c>
      <c r="J126" s="22" t="s">
        <v>1790</v>
      </c>
      <c r="K126" s="95">
        <v>33963406</v>
      </c>
      <c r="L126" s="50">
        <v>32</v>
      </c>
      <c r="M126" s="22" t="s">
        <v>2123</v>
      </c>
      <c r="N126" s="22" t="s">
        <v>2527</v>
      </c>
      <c r="O126" s="46" t="str">
        <f>VLOOKUP(N126,Datos!$BJ$5:$BL$334,2,FALSE)</f>
        <v>LIBERTAD</v>
      </c>
      <c r="P126" s="46" t="str">
        <f>VLOOKUP(N126,Datos!$BJ$5:$BL$334,3,FALSE)</f>
        <v>VIOLACION DE DOMICILIO</v>
      </c>
      <c r="Q126" s="22" t="s">
        <v>3257</v>
      </c>
      <c r="R126" s="65">
        <v>2</v>
      </c>
      <c r="S126" s="65">
        <v>4</v>
      </c>
      <c r="T126" s="65" t="s">
        <v>1575</v>
      </c>
      <c r="U126" s="45" t="s">
        <v>3250</v>
      </c>
    </row>
    <row r="127" spans="1:21" hidden="1">
      <c r="A127" s="58">
        <v>245</v>
      </c>
      <c r="B127" s="61">
        <v>44330</v>
      </c>
      <c r="C127" s="65" t="s">
        <v>2121</v>
      </c>
      <c r="D127" s="65" t="s">
        <v>2122</v>
      </c>
      <c r="E127" s="66" t="s">
        <v>518</v>
      </c>
      <c r="F127" s="22" t="s">
        <v>1590</v>
      </c>
      <c r="G127" s="22" t="s">
        <v>3258</v>
      </c>
      <c r="H127" s="22" t="s">
        <v>2957</v>
      </c>
      <c r="I127" s="22" t="s">
        <v>2120</v>
      </c>
      <c r="J127" s="22" t="s">
        <v>1790</v>
      </c>
      <c r="K127" s="95"/>
      <c r="L127" s="50"/>
      <c r="M127" s="22" t="s">
        <v>2123</v>
      </c>
      <c r="N127" s="22" t="s">
        <v>2386</v>
      </c>
      <c r="O127" s="46" t="str">
        <f>VLOOKUP(N127,Datos!$BJ$5:$BL$334,2,FALSE)</f>
        <v>PERSONAS</v>
      </c>
      <c r="P127" s="46" t="str">
        <f>VLOOKUP(N127,Datos!$BJ$5:$BL$334,3,FALSE)</f>
        <v>OTROS (C/LAS PERSONAS)</v>
      </c>
      <c r="Q127" s="22" t="s">
        <v>3259</v>
      </c>
      <c r="R127" s="65">
        <v>1</v>
      </c>
      <c r="S127" s="65">
        <v>4</v>
      </c>
      <c r="T127" s="65" t="s">
        <v>1575</v>
      </c>
      <c r="U127" s="45" t="s">
        <v>33</v>
      </c>
    </row>
    <row r="128" spans="1:21" hidden="1">
      <c r="A128" s="58">
        <v>246</v>
      </c>
      <c r="B128" s="61">
        <v>44330</v>
      </c>
      <c r="C128" s="65" t="s">
        <v>2121</v>
      </c>
      <c r="D128" s="65" t="s">
        <v>2122</v>
      </c>
      <c r="E128" s="66" t="s">
        <v>518</v>
      </c>
      <c r="F128" s="22" t="s">
        <v>1590</v>
      </c>
      <c r="G128" s="22" t="s">
        <v>2868</v>
      </c>
      <c r="H128" s="22" t="s">
        <v>3260</v>
      </c>
      <c r="I128" s="22" t="s">
        <v>2120</v>
      </c>
      <c r="J128" s="22" t="s">
        <v>1790</v>
      </c>
      <c r="K128" s="95"/>
      <c r="L128" s="50">
        <v>21</v>
      </c>
      <c r="M128" s="22" t="s">
        <v>2123</v>
      </c>
      <c r="N128" s="22" t="s">
        <v>2599</v>
      </c>
      <c r="O128" s="46" t="str">
        <f>VLOOKUP(N128,Datos!$BJ$5:$BL$334,2,FALSE)</f>
        <v>PROPIEDAD</v>
      </c>
      <c r="P128" s="46" t="str">
        <f>VLOOKUP(N128,Datos!$BJ$5:$BL$334,3,FALSE)</f>
        <v>ASALTO</v>
      </c>
      <c r="Q128" s="22" t="s">
        <v>3262</v>
      </c>
      <c r="R128" s="65">
        <v>1</v>
      </c>
      <c r="S128" s="65">
        <v>2</v>
      </c>
      <c r="T128" s="65" t="s">
        <v>1575</v>
      </c>
      <c r="U128" s="45" t="s">
        <v>33</v>
      </c>
    </row>
    <row r="129" spans="1:21" hidden="1">
      <c r="A129" s="58">
        <v>247</v>
      </c>
      <c r="B129" s="61">
        <v>44330</v>
      </c>
      <c r="C129" s="65" t="s">
        <v>2121</v>
      </c>
      <c r="D129" s="65" t="s">
        <v>2122</v>
      </c>
      <c r="E129" s="66" t="s">
        <v>518</v>
      </c>
      <c r="F129" s="22" t="s">
        <v>1590</v>
      </c>
      <c r="G129" s="22" t="s">
        <v>2868</v>
      </c>
      <c r="H129" s="22" t="s">
        <v>3261</v>
      </c>
      <c r="I129" s="22" t="s">
        <v>2120</v>
      </c>
      <c r="J129" s="22" t="s">
        <v>1790</v>
      </c>
      <c r="K129" s="95"/>
      <c r="L129" s="50">
        <v>23</v>
      </c>
      <c r="M129" s="22" t="s">
        <v>2123</v>
      </c>
      <c r="N129" s="22" t="s">
        <v>2599</v>
      </c>
      <c r="O129" s="46" t="str">
        <f>VLOOKUP(N129,Datos!$BJ$5:$BL$334,2,FALSE)</f>
        <v>PROPIEDAD</v>
      </c>
      <c r="P129" s="46" t="str">
        <f>VLOOKUP(N129,Datos!$BJ$5:$BL$334,3,FALSE)</f>
        <v>ASALTO</v>
      </c>
      <c r="Q129" s="22" t="s">
        <v>3262</v>
      </c>
      <c r="R129" s="65">
        <v>1</v>
      </c>
      <c r="S129" s="65">
        <v>2</v>
      </c>
      <c r="T129" s="65" t="s">
        <v>1575</v>
      </c>
      <c r="U129" s="45" t="s">
        <v>33</v>
      </c>
    </row>
    <row r="130" spans="1:21" hidden="1">
      <c r="A130" s="58">
        <v>249</v>
      </c>
      <c r="B130" s="61">
        <v>44335</v>
      </c>
      <c r="C130" s="65" t="s">
        <v>2121</v>
      </c>
      <c r="D130" s="65" t="s">
        <v>2121</v>
      </c>
      <c r="E130" s="66" t="s">
        <v>518</v>
      </c>
      <c r="F130" s="22" t="s">
        <v>1590</v>
      </c>
      <c r="G130" s="22" t="s">
        <v>3263</v>
      </c>
      <c r="H130" s="22" t="s">
        <v>3264</v>
      </c>
      <c r="I130" s="22" t="s">
        <v>2120</v>
      </c>
      <c r="J130" s="22" t="s">
        <v>1790</v>
      </c>
      <c r="K130" s="95"/>
      <c r="L130" s="50">
        <v>25</v>
      </c>
      <c r="M130" s="22" t="s">
        <v>2123</v>
      </c>
      <c r="N130" s="22" t="s">
        <v>2369</v>
      </c>
      <c r="O130" s="46" t="str">
        <f>VLOOKUP(N130,Datos!$BJ$5:$BL$334,2,FALSE)</f>
        <v>LEY 23737</v>
      </c>
      <c r="P130" s="46" t="str">
        <f>VLOOKUP(N130,Datos!$BJ$5:$BL$334,3,FALSE)</f>
        <v>LEY 23737</v>
      </c>
      <c r="Q130" s="22" t="s">
        <v>3265</v>
      </c>
      <c r="R130" s="65">
        <v>1</v>
      </c>
      <c r="S130" s="65">
        <v>5</v>
      </c>
      <c r="T130" s="65" t="s">
        <v>1575</v>
      </c>
      <c r="U130" s="45" t="s">
        <v>2892</v>
      </c>
    </row>
    <row r="131" spans="1:21" hidden="1">
      <c r="A131" s="58">
        <v>250</v>
      </c>
      <c r="B131" s="61">
        <v>44335</v>
      </c>
      <c r="C131" s="65" t="s">
        <v>2121</v>
      </c>
      <c r="D131" s="65" t="s">
        <v>2122</v>
      </c>
      <c r="E131" s="66" t="s">
        <v>518</v>
      </c>
      <c r="F131" s="22" t="s">
        <v>1590</v>
      </c>
      <c r="G131" s="22" t="s">
        <v>3017</v>
      </c>
      <c r="H131" s="22" t="s">
        <v>3018</v>
      </c>
      <c r="I131" s="22" t="s">
        <v>2120</v>
      </c>
      <c r="J131" s="22" t="s">
        <v>1790</v>
      </c>
      <c r="K131" s="95"/>
      <c r="L131" s="50">
        <v>28</v>
      </c>
      <c r="M131" s="22" t="s">
        <v>2123</v>
      </c>
      <c r="N131" s="22" t="s">
        <v>2515</v>
      </c>
      <c r="O131" s="46" t="str">
        <f>VLOOKUP(N131,Datos!$BJ$5:$BL$334,2,FALSE)</f>
        <v>OTROS DELITOS</v>
      </c>
      <c r="P131" s="46" t="str">
        <f>VLOOKUP(N131,Datos!$BJ$5:$BL$334,3,FALSE)</f>
        <v>OTROS DELITOS</v>
      </c>
      <c r="Q131" s="22" t="s">
        <v>3266</v>
      </c>
      <c r="R131" s="65">
        <v>1</v>
      </c>
      <c r="S131" s="65">
        <v>4</v>
      </c>
      <c r="T131" s="65" t="s">
        <v>1575</v>
      </c>
      <c r="U131" s="45" t="s">
        <v>33</v>
      </c>
    </row>
    <row r="132" spans="1:21" hidden="1">
      <c r="A132" s="58">
        <v>251</v>
      </c>
      <c r="B132" s="61"/>
      <c r="C132" s="65" t="s">
        <v>2492</v>
      </c>
      <c r="D132" s="65" t="s">
        <v>2492</v>
      </c>
      <c r="E132" s="66" t="s">
        <v>2492</v>
      </c>
      <c r="F132" s="22"/>
      <c r="G132" s="22"/>
      <c r="H132" s="22"/>
      <c r="I132" s="22"/>
      <c r="J132" s="22"/>
      <c r="K132" s="95"/>
      <c r="L132" s="50"/>
      <c r="M132" s="22"/>
      <c r="N132" s="22" t="s">
        <v>2195</v>
      </c>
      <c r="O132" s="46" t="str">
        <f>VLOOKUP(N132,Datos!$BJ$5:$BL$334,2,FALSE)</f>
        <v>ESPECIE</v>
      </c>
      <c r="P132" s="46" t="str">
        <f>VLOOKUP(N132,Datos!$BJ$5:$BL$334,3,FALSE)</f>
        <v>SUBESPECIE</v>
      </c>
      <c r="Q132" s="22"/>
      <c r="R132" s="65"/>
      <c r="S132" s="65"/>
      <c r="T132" s="65"/>
      <c r="U132" s="45"/>
    </row>
    <row r="133" spans="1:21" hidden="1">
      <c r="A133" s="58">
        <v>252</v>
      </c>
      <c r="B133" s="61"/>
      <c r="C133" s="65" t="s">
        <v>2492</v>
      </c>
      <c r="D133" s="65" t="s">
        <v>2492</v>
      </c>
      <c r="E133" s="66" t="s">
        <v>2492</v>
      </c>
      <c r="F133" s="22"/>
      <c r="G133" s="22"/>
      <c r="H133" s="22"/>
      <c r="I133" s="22"/>
      <c r="J133" s="22"/>
      <c r="K133" s="95"/>
      <c r="L133" s="50"/>
      <c r="M133" s="22"/>
      <c r="N133" s="22" t="s">
        <v>2195</v>
      </c>
      <c r="O133" s="46" t="str">
        <f>VLOOKUP(N133,Datos!$BJ$5:$BL$334,2,FALSE)</f>
        <v>ESPECIE</v>
      </c>
      <c r="P133" s="46" t="str">
        <f>VLOOKUP(N133,Datos!$BJ$5:$BL$334,3,FALSE)</f>
        <v>SUBESPECIE</v>
      </c>
      <c r="Q133" s="22"/>
      <c r="R133" s="65"/>
      <c r="S133" s="65"/>
      <c r="T133" s="65"/>
      <c r="U133" s="45"/>
    </row>
    <row r="134" spans="1:21" hidden="1">
      <c r="A134" s="58">
        <v>253</v>
      </c>
      <c r="B134" s="61"/>
      <c r="C134" s="65" t="s">
        <v>2492</v>
      </c>
      <c r="D134" s="65" t="s">
        <v>2492</v>
      </c>
      <c r="E134" s="66" t="s">
        <v>2492</v>
      </c>
      <c r="F134" s="22"/>
      <c r="G134" s="22"/>
      <c r="H134" s="22"/>
      <c r="I134" s="22"/>
      <c r="J134" s="22"/>
      <c r="K134" s="95"/>
      <c r="L134" s="50"/>
      <c r="M134" s="22"/>
      <c r="N134" s="22" t="s">
        <v>2195</v>
      </c>
      <c r="O134" s="46" t="str">
        <f>VLOOKUP(N134,Datos!$BJ$5:$BL$334,2,FALSE)</f>
        <v>ESPECIE</v>
      </c>
      <c r="P134" s="46" t="str">
        <f>VLOOKUP(N134,Datos!$BJ$5:$BL$334,3,FALSE)</f>
        <v>SUBESPECIE</v>
      </c>
      <c r="Q134" s="22"/>
      <c r="R134" s="65"/>
      <c r="S134" s="65"/>
      <c r="T134" s="65"/>
      <c r="U134" s="45"/>
    </row>
    <row r="135" spans="1:21" hidden="1">
      <c r="A135" s="58">
        <v>254</v>
      </c>
      <c r="B135" s="61"/>
      <c r="C135" s="65" t="s">
        <v>2492</v>
      </c>
      <c r="D135" s="65" t="s">
        <v>2492</v>
      </c>
      <c r="E135" s="66" t="s">
        <v>2492</v>
      </c>
      <c r="F135" s="22"/>
      <c r="G135" s="22"/>
      <c r="H135" s="22"/>
      <c r="I135" s="22"/>
      <c r="J135" s="22"/>
      <c r="K135" s="95"/>
      <c r="L135" s="50"/>
      <c r="M135" s="22"/>
      <c r="N135" s="22" t="s">
        <v>2195</v>
      </c>
      <c r="O135" s="46" t="str">
        <f>VLOOKUP(N135,Datos!$BJ$5:$BL$334,2,FALSE)</f>
        <v>ESPECIE</v>
      </c>
      <c r="P135" s="46" t="str">
        <f>VLOOKUP(N135,Datos!$BJ$5:$BL$334,3,FALSE)</f>
        <v>SUBESPECIE</v>
      </c>
      <c r="Q135" s="22"/>
      <c r="R135" s="65"/>
      <c r="S135" s="65"/>
      <c r="T135" s="65"/>
      <c r="U135" s="45"/>
    </row>
    <row r="136" spans="1:21" hidden="1">
      <c r="A136" s="58">
        <v>255</v>
      </c>
      <c r="B136" s="61"/>
      <c r="C136" s="65" t="s">
        <v>2492</v>
      </c>
      <c r="D136" s="65" t="s">
        <v>2492</v>
      </c>
      <c r="E136" s="66" t="s">
        <v>2492</v>
      </c>
      <c r="F136" s="22"/>
      <c r="G136" s="22"/>
      <c r="H136" s="22"/>
      <c r="I136" s="22"/>
      <c r="J136" s="22"/>
      <c r="K136" s="95"/>
      <c r="L136" s="50"/>
      <c r="M136" s="22"/>
      <c r="N136" s="22" t="s">
        <v>2195</v>
      </c>
      <c r="O136" s="46" t="str">
        <f>VLOOKUP(N136,Datos!$BJ$5:$BL$334,2,FALSE)</f>
        <v>ESPECIE</v>
      </c>
      <c r="P136" s="46" t="str">
        <f>VLOOKUP(N136,Datos!$BJ$5:$BL$334,3,FALSE)</f>
        <v>SUBESPECIE</v>
      </c>
      <c r="Q136" s="22"/>
      <c r="R136" s="65"/>
      <c r="S136" s="65"/>
      <c r="T136" s="65"/>
      <c r="U136" s="45"/>
    </row>
    <row r="137" spans="1:21" hidden="1">
      <c r="A137" s="58">
        <v>256</v>
      </c>
      <c r="B137" s="61"/>
      <c r="C137" s="65" t="s">
        <v>2492</v>
      </c>
      <c r="D137" s="65" t="s">
        <v>2492</v>
      </c>
      <c r="E137" s="66" t="s">
        <v>2492</v>
      </c>
      <c r="F137" s="22"/>
      <c r="G137" s="22"/>
      <c r="H137" s="22"/>
      <c r="I137" s="22"/>
      <c r="J137" s="22"/>
      <c r="K137" s="95"/>
      <c r="L137" s="50"/>
      <c r="M137" s="22"/>
      <c r="N137" s="22" t="s">
        <v>2195</v>
      </c>
      <c r="O137" s="46" t="str">
        <f>VLOOKUP(N137,Datos!$BJ$5:$BL$334,2,FALSE)</f>
        <v>ESPECIE</v>
      </c>
      <c r="P137" s="46" t="str">
        <f>VLOOKUP(N137,Datos!$BJ$5:$BL$334,3,FALSE)</f>
        <v>SUBESPECIE</v>
      </c>
      <c r="Q137" s="22"/>
      <c r="R137" s="65"/>
      <c r="S137" s="65"/>
      <c r="T137" s="65"/>
      <c r="U137" s="45"/>
    </row>
    <row r="138" spans="1:21" hidden="1">
      <c r="A138" s="58">
        <v>257</v>
      </c>
      <c r="B138" s="61"/>
      <c r="C138" s="65" t="s">
        <v>2492</v>
      </c>
      <c r="D138" s="65" t="s">
        <v>2492</v>
      </c>
      <c r="E138" s="66" t="s">
        <v>2492</v>
      </c>
      <c r="F138" s="22"/>
      <c r="G138" s="22"/>
      <c r="H138" s="22"/>
      <c r="I138" s="22"/>
      <c r="J138" s="22"/>
      <c r="K138" s="95"/>
      <c r="L138" s="50"/>
      <c r="M138" s="22"/>
      <c r="N138" s="22" t="s">
        <v>2195</v>
      </c>
      <c r="O138" s="46" t="str">
        <f>VLOOKUP(N138,Datos!$BJ$5:$BL$334,2,FALSE)</f>
        <v>ESPECIE</v>
      </c>
      <c r="P138" s="46" t="str">
        <f>VLOOKUP(N138,Datos!$BJ$5:$BL$334,3,FALSE)</f>
        <v>SUBESPECIE</v>
      </c>
      <c r="Q138" s="22"/>
      <c r="R138" s="65"/>
      <c r="S138" s="65"/>
      <c r="T138" s="65"/>
      <c r="U138" s="45"/>
    </row>
    <row r="139" spans="1:21" hidden="1">
      <c r="A139" s="58">
        <v>258</v>
      </c>
      <c r="B139" s="61"/>
      <c r="C139" s="65" t="s">
        <v>2492</v>
      </c>
      <c r="D139" s="65" t="s">
        <v>2492</v>
      </c>
      <c r="E139" s="66" t="s">
        <v>2492</v>
      </c>
      <c r="F139" s="22"/>
      <c r="G139" s="22"/>
      <c r="H139" s="22"/>
      <c r="I139" s="22"/>
      <c r="J139" s="22"/>
      <c r="K139" s="95"/>
      <c r="L139" s="50"/>
      <c r="M139" s="22"/>
      <c r="N139" s="22" t="s">
        <v>2195</v>
      </c>
      <c r="O139" s="46" t="str">
        <f>VLOOKUP(N139,Datos!$BJ$5:$BL$334,2,FALSE)</f>
        <v>ESPECIE</v>
      </c>
      <c r="P139" s="46" t="str">
        <f>VLOOKUP(N139,Datos!$BJ$5:$BL$334,3,FALSE)</f>
        <v>SUBESPECIE</v>
      </c>
      <c r="Q139" s="22"/>
      <c r="R139" s="65"/>
      <c r="S139" s="65"/>
      <c r="T139" s="65"/>
      <c r="U139" s="45"/>
    </row>
    <row r="140" spans="1:21" hidden="1">
      <c r="A140" s="58">
        <v>259</v>
      </c>
      <c r="B140" s="61"/>
      <c r="C140" s="65" t="s">
        <v>2492</v>
      </c>
      <c r="D140" s="65" t="s">
        <v>2492</v>
      </c>
      <c r="E140" s="66" t="s">
        <v>2492</v>
      </c>
      <c r="F140" s="22"/>
      <c r="G140" s="22"/>
      <c r="H140" s="22"/>
      <c r="I140" s="22"/>
      <c r="J140" s="22"/>
      <c r="K140" s="95"/>
      <c r="L140" s="50"/>
      <c r="M140" s="22"/>
      <c r="N140" s="22" t="s">
        <v>2195</v>
      </c>
      <c r="O140" s="46" t="str">
        <f>VLOOKUP(N140,Datos!$BJ$5:$BL$334,2,FALSE)</f>
        <v>ESPECIE</v>
      </c>
      <c r="P140" s="46" t="str">
        <f>VLOOKUP(N140,Datos!$BJ$5:$BL$334,3,FALSE)</f>
        <v>SUBESPECIE</v>
      </c>
      <c r="Q140" s="22"/>
      <c r="R140" s="65"/>
      <c r="S140" s="65"/>
      <c r="T140" s="65"/>
      <c r="U140" s="45"/>
    </row>
    <row r="141" spans="1:21" hidden="1">
      <c r="A141" s="58">
        <v>260</v>
      </c>
      <c r="B141" s="61"/>
      <c r="C141" s="65" t="s">
        <v>2492</v>
      </c>
      <c r="D141" s="65" t="s">
        <v>2492</v>
      </c>
      <c r="E141" s="66" t="s">
        <v>2492</v>
      </c>
      <c r="F141" s="22"/>
      <c r="G141" s="22"/>
      <c r="H141" s="22"/>
      <c r="I141" s="22"/>
      <c r="J141" s="22"/>
      <c r="K141" s="95"/>
      <c r="L141" s="50"/>
      <c r="M141" s="22"/>
      <c r="N141" s="22" t="s">
        <v>2195</v>
      </c>
      <c r="O141" s="46" t="str">
        <f>VLOOKUP(N141,Datos!$BJ$5:$BL$334,2,FALSE)</f>
        <v>ESPECIE</v>
      </c>
      <c r="P141" s="46" t="str">
        <f>VLOOKUP(N141,Datos!$BJ$5:$BL$334,3,FALSE)</f>
        <v>SUBESPECIE</v>
      </c>
      <c r="Q141" s="22"/>
      <c r="R141" s="65"/>
      <c r="S141" s="65"/>
      <c r="T141" s="65"/>
      <c r="U141" s="45"/>
    </row>
    <row r="142" spans="1:21" hidden="1">
      <c r="A142" s="58">
        <v>261</v>
      </c>
      <c r="B142" s="61"/>
      <c r="C142" s="65" t="s">
        <v>2492</v>
      </c>
      <c r="D142" s="65" t="s">
        <v>2492</v>
      </c>
      <c r="E142" s="66" t="s">
        <v>2492</v>
      </c>
      <c r="F142" s="22"/>
      <c r="G142" s="22"/>
      <c r="H142" s="22"/>
      <c r="I142" s="22"/>
      <c r="J142" s="22"/>
      <c r="K142" s="95"/>
      <c r="L142" s="50"/>
      <c r="M142" s="22"/>
      <c r="N142" s="22" t="s">
        <v>2195</v>
      </c>
      <c r="O142" s="46" t="str">
        <f>VLOOKUP(N142,Datos!$BJ$5:$BL$334,2,FALSE)</f>
        <v>ESPECIE</v>
      </c>
      <c r="P142" s="46" t="str">
        <f>VLOOKUP(N142,Datos!$BJ$5:$BL$334,3,FALSE)</f>
        <v>SUBESPECIE</v>
      </c>
      <c r="Q142" s="22"/>
      <c r="R142" s="65"/>
      <c r="S142" s="65"/>
      <c r="T142" s="65"/>
      <c r="U142" s="45"/>
    </row>
    <row r="143" spans="1:21" hidden="1">
      <c r="A143" s="58">
        <v>262</v>
      </c>
      <c r="B143" s="61"/>
      <c r="C143" s="65" t="s">
        <v>2492</v>
      </c>
      <c r="D143" s="65" t="s">
        <v>2492</v>
      </c>
      <c r="E143" s="66" t="s">
        <v>2492</v>
      </c>
      <c r="F143" s="22"/>
      <c r="G143" s="22"/>
      <c r="H143" s="22"/>
      <c r="I143" s="22"/>
      <c r="J143" s="22"/>
      <c r="K143" s="95"/>
      <c r="L143" s="50"/>
      <c r="M143" s="22"/>
      <c r="N143" s="22" t="s">
        <v>2195</v>
      </c>
      <c r="O143" s="46" t="str">
        <f>VLOOKUP(N143,Datos!$BJ$5:$BL$334,2,FALSE)</f>
        <v>ESPECIE</v>
      </c>
      <c r="P143" s="46" t="str">
        <f>VLOOKUP(N143,Datos!$BJ$5:$BL$334,3,FALSE)</f>
        <v>SUBESPECIE</v>
      </c>
      <c r="Q143" s="22"/>
      <c r="R143" s="65"/>
      <c r="S143" s="65"/>
      <c r="T143" s="65"/>
      <c r="U143" s="45"/>
    </row>
    <row r="144" spans="1:21" hidden="1">
      <c r="A144" s="58">
        <v>263</v>
      </c>
      <c r="B144" s="61"/>
      <c r="C144" s="65" t="s">
        <v>2492</v>
      </c>
      <c r="D144" s="65" t="s">
        <v>2492</v>
      </c>
      <c r="E144" s="66" t="s">
        <v>2492</v>
      </c>
      <c r="F144" s="22"/>
      <c r="G144" s="22"/>
      <c r="H144" s="22"/>
      <c r="I144" s="22"/>
      <c r="J144" s="22"/>
      <c r="K144" s="95"/>
      <c r="L144" s="50"/>
      <c r="M144" s="22"/>
      <c r="N144" s="22" t="s">
        <v>2195</v>
      </c>
      <c r="O144" s="46" t="str">
        <f>VLOOKUP(N144,Datos!$BJ$5:$BL$334,2,FALSE)</f>
        <v>ESPECIE</v>
      </c>
      <c r="P144" s="46" t="str">
        <f>VLOOKUP(N144,Datos!$BJ$5:$BL$334,3,FALSE)</f>
        <v>SUBESPECIE</v>
      </c>
      <c r="Q144" s="22"/>
      <c r="R144" s="65"/>
      <c r="S144" s="65"/>
      <c r="T144" s="65"/>
      <c r="U144" s="45"/>
    </row>
    <row r="145" spans="1:21" hidden="1">
      <c r="A145" s="58">
        <v>264</v>
      </c>
      <c r="B145" s="61"/>
      <c r="C145" s="65" t="s">
        <v>2492</v>
      </c>
      <c r="D145" s="65" t="s">
        <v>2492</v>
      </c>
      <c r="E145" s="66" t="s">
        <v>2492</v>
      </c>
      <c r="F145" s="22"/>
      <c r="G145" s="22"/>
      <c r="H145" s="22"/>
      <c r="I145" s="22"/>
      <c r="J145" s="22"/>
      <c r="K145" s="95"/>
      <c r="L145" s="50"/>
      <c r="M145" s="22"/>
      <c r="N145" s="22" t="s">
        <v>2195</v>
      </c>
      <c r="O145" s="46" t="str">
        <f>VLOOKUP(N145,Datos!$BJ$5:$BL$334,2,FALSE)</f>
        <v>ESPECIE</v>
      </c>
      <c r="P145" s="46" t="str">
        <f>VLOOKUP(N145,Datos!$BJ$5:$BL$334,3,FALSE)</f>
        <v>SUBESPECIE</v>
      </c>
      <c r="Q145" s="22"/>
      <c r="R145" s="65"/>
      <c r="S145" s="65"/>
      <c r="T145" s="65"/>
      <c r="U145" s="45"/>
    </row>
    <row r="146" spans="1:21" hidden="1">
      <c r="A146" s="58">
        <v>265</v>
      </c>
      <c r="B146" s="61"/>
      <c r="C146" s="65" t="s">
        <v>2492</v>
      </c>
      <c r="D146" s="65" t="s">
        <v>2492</v>
      </c>
      <c r="E146" s="66" t="s">
        <v>2492</v>
      </c>
      <c r="F146" s="22"/>
      <c r="G146" s="22"/>
      <c r="H146" s="22"/>
      <c r="I146" s="22"/>
      <c r="J146" s="22"/>
      <c r="K146" s="95"/>
      <c r="L146" s="50"/>
      <c r="M146" s="22"/>
      <c r="N146" s="22" t="s">
        <v>2195</v>
      </c>
      <c r="O146" s="46" t="str">
        <f>VLOOKUP(N146,Datos!$BJ$5:$BL$334,2,FALSE)</f>
        <v>ESPECIE</v>
      </c>
      <c r="P146" s="46" t="str">
        <f>VLOOKUP(N146,Datos!$BJ$5:$BL$334,3,FALSE)</f>
        <v>SUBESPECIE</v>
      </c>
      <c r="Q146" s="22"/>
      <c r="R146" s="65"/>
      <c r="S146" s="65"/>
      <c r="T146" s="65"/>
      <c r="U146" s="45"/>
    </row>
    <row r="147" spans="1:21" hidden="1">
      <c r="A147" s="58">
        <v>266</v>
      </c>
      <c r="B147" s="61"/>
      <c r="C147" s="65" t="s">
        <v>2492</v>
      </c>
      <c r="D147" s="65" t="s">
        <v>2492</v>
      </c>
      <c r="E147" s="66" t="s">
        <v>2492</v>
      </c>
      <c r="F147" s="22"/>
      <c r="G147" s="22"/>
      <c r="H147" s="22"/>
      <c r="I147" s="22"/>
      <c r="J147" s="22"/>
      <c r="K147" s="95"/>
      <c r="L147" s="50"/>
      <c r="M147" s="22"/>
      <c r="N147" s="22" t="s">
        <v>2195</v>
      </c>
      <c r="O147" s="46" t="str">
        <f>VLOOKUP(N147,Datos!$BJ$5:$BL$334,2,FALSE)</f>
        <v>ESPECIE</v>
      </c>
      <c r="P147" s="46" t="str">
        <f>VLOOKUP(N147,Datos!$BJ$5:$BL$334,3,FALSE)</f>
        <v>SUBESPECIE</v>
      </c>
      <c r="Q147" s="22"/>
      <c r="R147" s="65"/>
      <c r="S147" s="65"/>
      <c r="T147" s="65"/>
      <c r="U147" s="45"/>
    </row>
    <row r="148" spans="1:21" hidden="1">
      <c r="A148" s="58">
        <v>267</v>
      </c>
      <c r="B148" s="61"/>
      <c r="C148" s="65" t="s">
        <v>2492</v>
      </c>
      <c r="D148" s="65" t="s">
        <v>2492</v>
      </c>
      <c r="E148" s="66" t="s">
        <v>2492</v>
      </c>
      <c r="F148" s="22"/>
      <c r="G148" s="24"/>
      <c r="H148" s="22"/>
      <c r="I148" s="22"/>
      <c r="J148" s="22"/>
      <c r="K148" s="95"/>
      <c r="L148" s="50"/>
      <c r="M148" s="22"/>
      <c r="N148" s="22" t="s">
        <v>2195</v>
      </c>
      <c r="O148" s="46" t="str">
        <f>VLOOKUP(N148,Datos!$BJ$5:$BL$334,2,FALSE)</f>
        <v>ESPECIE</v>
      </c>
      <c r="P148" s="46" t="str">
        <f>VLOOKUP(N148,Datos!$BJ$5:$BL$334,3,FALSE)</f>
        <v>SUBESPECIE</v>
      </c>
      <c r="Q148" s="22"/>
      <c r="R148" s="65"/>
      <c r="S148" s="65"/>
      <c r="T148" s="65"/>
      <c r="U148" s="45"/>
    </row>
    <row r="149" spans="1:21" hidden="1">
      <c r="A149" s="58">
        <v>268</v>
      </c>
      <c r="B149" s="61"/>
      <c r="C149" s="65" t="s">
        <v>2492</v>
      </c>
      <c r="D149" s="65" t="s">
        <v>2492</v>
      </c>
      <c r="E149" s="66" t="s">
        <v>2492</v>
      </c>
      <c r="F149" s="22"/>
      <c r="G149" s="24"/>
      <c r="H149" s="22"/>
      <c r="I149" s="22"/>
      <c r="J149" s="22"/>
      <c r="K149" s="95"/>
      <c r="L149" s="50"/>
      <c r="M149" s="22"/>
      <c r="N149" s="22" t="s">
        <v>2195</v>
      </c>
      <c r="O149" s="46" t="str">
        <f>VLOOKUP(N149,Datos!$BJ$5:$BL$334,2,FALSE)</f>
        <v>ESPECIE</v>
      </c>
      <c r="P149" s="46" t="str">
        <f>VLOOKUP(N149,Datos!$BJ$5:$BL$334,3,FALSE)</f>
        <v>SUBESPECIE</v>
      </c>
      <c r="Q149" s="22"/>
      <c r="R149" s="65"/>
      <c r="S149" s="65"/>
      <c r="T149" s="65"/>
      <c r="U149" s="45"/>
    </row>
    <row r="150" spans="1:21" hidden="1">
      <c r="A150" s="58">
        <v>269</v>
      </c>
      <c r="B150" s="61"/>
      <c r="C150" s="65" t="s">
        <v>2492</v>
      </c>
      <c r="D150" s="65" t="s">
        <v>2492</v>
      </c>
      <c r="E150" s="66" t="s">
        <v>2492</v>
      </c>
      <c r="F150" s="22"/>
      <c r="G150" s="24"/>
      <c r="H150" s="22"/>
      <c r="I150" s="22"/>
      <c r="J150" s="22"/>
      <c r="K150" s="95"/>
      <c r="L150" s="50"/>
      <c r="M150" s="22"/>
      <c r="N150" s="22" t="s">
        <v>2195</v>
      </c>
      <c r="O150" s="46" t="str">
        <f>VLOOKUP(N150,Datos!$BJ$5:$BL$334,2,FALSE)</f>
        <v>ESPECIE</v>
      </c>
      <c r="P150" s="46" t="str">
        <f>VLOOKUP(N150,Datos!$BJ$5:$BL$334,3,FALSE)</f>
        <v>SUBESPECIE</v>
      </c>
      <c r="Q150" s="22"/>
      <c r="R150" s="65"/>
      <c r="S150" s="65"/>
      <c r="T150" s="65"/>
      <c r="U150" s="45"/>
    </row>
    <row r="151" spans="1:21" hidden="1">
      <c r="A151" s="58">
        <v>270</v>
      </c>
      <c r="B151" s="61"/>
      <c r="C151" s="65" t="s">
        <v>2492</v>
      </c>
      <c r="D151" s="65" t="s">
        <v>2492</v>
      </c>
      <c r="E151" s="66" t="s">
        <v>2492</v>
      </c>
      <c r="F151" s="22"/>
      <c r="G151" s="24"/>
      <c r="H151" s="22"/>
      <c r="I151" s="22"/>
      <c r="J151" s="22"/>
      <c r="K151" s="95"/>
      <c r="L151" s="50"/>
      <c r="M151" s="22"/>
      <c r="N151" s="22" t="s">
        <v>2195</v>
      </c>
      <c r="O151" s="46" t="str">
        <f>VLOOKUP(N151,Datos!$BJ$5:$BL$334,2,FALSE)</f>
        <v>ESPECIE</v>
      </c>
      <c r="P151" s="46" t="str">
        <f>VLOOKUP(N151,Datos!$BJ$5:$BL$334,3,FALSE)</f>
        <v>SUBESPECIE</v>
      </c>
      <c r="Q151" s="22"/>
      <c r="R151" s="65"/>
      <c r="S151" s="65"/>
      <c r="T151" s="65"/>
      <c r="U151" s="45"/>
    </row>
    <row r="152" spans="1:21" hidden="1">
      <c r="A152" s="58">
        <v>271</v>
      </c>
      <c r="B152" s="61"/>
      <c r="C152" s="65" t="s">
        <v>2492</v>
      </c>
      <c r="D152" s="65" t="s">
        <v>2492</v>
      </c>
      <c r="E152" s="66" t="s">
        <v>2492</v>
      </c>
      <c r="F152" s="22"/>
      <c r="G152" s="24"/>
      <c r="H152" s="22"/>
      <c r="I152" s="22"/>
      <c r="J152" s="22"/>
      <c r="K152" s="95"/>
      <c r="L152" s="50"/>
      <c r="M152" s="22"/>
      <c r="N152" s="22" t="s">
        <v>2195</v>
      </c>
      <c r="O152" s="46" t="str">
        <f>VLOOKUP(N152,Datos!$BJ$5:$BL$334,2,FALSE)</f>
        <v>ESPECIE</v>
      </c>
      <c r="P152" s="46" t="str">
        <f>VLOOKUP(N152,Datos!$BJ$5:$BL$334,3,FALSE)</f>
        <v>SUBESPECIE</v>
      </c>
      <c r="Q152" s="22"/>
      <c r="R152" s="65"/>
      <c r="S152" s="65"/>
      <c r="T152" s="65"/>
      <c r="U152" s="45"/>
    </row>
    <row r="153" spans="1:21" hidden="1">
      <c r="A153" s="58">
        <v>272</v>
      </c>
      <c r="B153" s="61"/>
      <c r="C153" s="65" t="s">
        <v>2492</v>
      </c>
      <c r="D153" s="65" t="s">
        <v>2492</v>
      </c>
      <c r="E153" s="66" t="s">
        <v>2492</v>
      </c>
      <c r="F153" s="22"/>
      <c r="G153" s="24"/>
      <c r="H153" s="22"/>
      <c r="I153" s="22"/>
      <c r="J153" s="22"/>
      <c r="K153" s="95"/>
      <c r="L153" s="50"/>
      <c r="M153" s="22"/>
      <c r="N153" s="22" t="s">
        <v>2195</v>
      </c>
      <c r="O153" s="46" t="str">
        <f>VLOOKUP(N153,Datos!$BJ$5:$BL$334,2,FALSE)</f>
        <v>ESPECIE</v>
      </c>
      <c r="P153" s="46" t="str">
        <f>VLOOKUP(N153,Datos!$BJ$5:$BL$334,3,FALSE)</f>
        <v>SUBESPECIE</v>
      </c>
      <c r="Q153" s="22"/>
      <c r="R153" s="65"/>
      <c r="S153" s="65"/>
      <c r="T153" s="65"/>
      <c r="U153" s="45"/>
    </row>
    <row r="154" spans="1:21" hidden="1">
      <c r="A154" s="58">
        <v>273</v>
      </c>
      <c r="B154" s="61"/>
      <c r="C154" s="65" t="s">
        <v>2492</v>
      </c>
      <c r="D154" s="65" t="s">
        <v>2492</v>
      </c>
      <c r="E154" s="66" t="s">
        <v>2492</v>
      </c>
      <c r="F154" s="22"/>
      <c r="G154" s="22"/>
      <c r="H154" s="22"/>
      <c r="I154" s="22"/>
      <c r="J154" s="22"/>
      <c r="K154" s="95"/>
      <c r="L154" s="50"/>
      <c r="M154" s="22"/>
      <c r="N154" s="22" t="s">
        <v>2195</v>
      </c>
      <c r="O154" s="46" t="str">
        <f>VLOOKUP(N154,Datos!$BJ$5:$BL$334,2,FALSE)</f>
        <v>ESPECIE</v>
      </c>
      <c r="P154" s="46" t="str">
        <f>VLOOKUP(N154,Datos!$BJ$5:$BL$334,3,FALSE)</f>
        <v>SUBESPECIE</v>
      </c>
      <c r="Q154" s="22"/>
      <c r="R154" s="65"/>
      <c r="S154" s="65"/>
      <c r="T154" s="65"/>
      <c r="U154" s="45"/>
    </row>
    <row r="155" spans="1:21" hidden="1">
      <c r="A155" s="58">
        <v>274</v>
      </c>
      <c r="B155" s="61"/>
      <c r="C155" s="65" t="s">
        <v>2492</v>
      </c>
      <c r="D155" s="65" t="s">
        <v>2492</v>
      </c>
      <c r="E155" s="66" t="s">
        <v>2492</v>
      </c>
      <c r="F155" s="22"/>
      <c r="G155" s="22"/>
      <c r="H155" s="22"/>
      <c r="I155" s="22"/>
      <c r="J155" s="22"/>
      <c r="K155" s="95"/>
      <c r="L155" s="50"/>
      <c r="M155" s="22"/>
      <c r="N155" s="22" t="s">
        <v>2195</v>
      </c>
      <c r="O155" s="46" t="str">
        <f>VLOOKUP(N155,Datos!$BJ$5:$BL$334,2,FALSE)</f>
        <v>ESPECIE</v>
      </c>
      <c r="P155" s="46" t="str">
        <f>VLOOKUP(N155,Datos!$BJ$5:$BL$334,3,FALSE)</f>
        <v>SUBESPECIE</v>
      </c>
      <c r="Q155" s="22"/>
      <c r="R155" s="65"/>
      <c r="S155" s="65"/>
      <c r="T155" s="65"/>
      <c r="U155" s="45"/>
    </row>
    <row r="156" spans="1:21" hidden="1">
      <c r="A156" s="58">
        <v>275</v>
      </c>
      <c r="B156" s="61"/>
      <c r="C156" s="65" t="s">
        <v>2492</v>
      </c>
      <c r="D156" s="65" t="s">
        <v>2492</v>
      </c>
      <c r="E156" s="66" t="s">
        <v>2492</v>
      </c>
      <c r="F156" s="22"/>
      <c r="G156" s="22"/>
      <c r="H156" s="22"/>
      <c r="I156" s="22"/>
      <c r="J156" s="22"/>
      <c r="K156" s="95"/>
      <c r="L156" s="50"/>
      <c r="M156" s="22"/>
      <c r="N156" s="22" t="s">
        <v>2195</v>
      </c>
      <c r="O156" s="46" t="str">
        <f>VLOOKUP(N156,Datos!$BJ$5:$BL$334,2,FALSE)</f>
        <v>ESPECIE</v>
      </c>
      <c r="P156" s="46" t="str">
        <f>VLOOKUP(N156,Datos!$BJ$5:$BL$334,3,FALSE)</f>
        <v>SUBESPECIE</v>
      </c>
      <c r="Q156" s="22"/>
      <c r="R156" s="65"/>
      <c r="S156" s="65"/>
      <c r="T156" s="65"/>
      <c r="U156" s="45"/>
    </row>
    <row r="157" spans="1:21" hidden="1">
      <c r="A157" s="58">
        <v>276</v>
      </c>
      <c r="B157" s="61"/>
      <c r="C157" s="65" t="s">
        <v>2492</v>
      </c>
      <c r="D157" s="65" t="s">
        <v>2492</v>
      </c>
      <c r="E157" s="66" t="s">
        <v>2492</v>
      </c>
      <c r="F157" s="22"/>
      <c r="G157" s="22"/>
      <c r="H157" s="22"/>
      <c r="I157" s="22"/>
      <c r="J157" s="22"/>
      <c r="K157" s="95"/>
      <c r="L157" s="50"/>
      <c r="M157" s="22"/>
      <c r="N157" s="22" t="s">
        <v>2195</v>
      </c>
      <c r="O157" s="46" t="str">
        <f>VLOOKUP(N157,Datos!$BJ$5:$BL$334,2,FALSE)</f>
        <v>ESPECIE</v>
      </c>
      <c r="P157" s="46" t="str">
        <f>VLOOKUP(N157,Datos!$BJ$5:$BL$334,3,FALSE)</f>
        <v>SUBESPECIE</v>
      </c>
      <c r="Q157" s="22"/>
      <c r="R157" s="65"/>
      <c r="S157" s="65"/>
      <c r="T157" s="65"/>
      <c r="U157" s="45"/>
    </row>
    <row r="158" spans="1:21" hidden="1">
      <c r="A158" s="58">
        <v>277</v>
      </c>
      <c r="B158" s="61"/>
      <c r="C158" s="65" t="s">
        <v>2492</v>
      </c>
      <c r="D158" s="65" t="s">
        <v>2492</v>
      </c>
      <c r="E158" s="66" t="s">
        <v>2492</v>
      </c>
      <c r="F158" s="22"/>
      <c r="G158" s="22"/>
      <c r="H158" s="22"/>
      <c r="I158" s="22"/>
      <c r="J158" s="22"/>
      <c r="K158" s="95"/>
      <c r="L158" s="50"/>
      <c r="M158" s="22"/>
      <c r="N158" s="22" t="s">
        <v>2195</v>
      </c>
      <c r="O158" s="46" t="str">
        <f>VLOOKUP(N158,Datos!$BJ$5:$BL$334,2,FALSE)</f>
        <v>ESPECIE</v>
      </c>
      <c r="P158" s="46" t="str">
        <f>VLOOKUP(N158,Datos!$BJ$5:$BL$334,3,FALSE)</f>
        <v>SUBESPECIE</v>
      </c>
      <c r="Q158" s="22"/>
      <c r="R158" s="65"/>
      <c r="S158" s="65"/>
      <c r="T158" s="65"/>
      <c r="U158" s="45"/>
    </row>
    <row r="159" spans="1:21" hidden="1">
      <c r="A159" s="58">
        <v>278</v>
      </c>
      <c r="B159" s="61"/>
      <c r="C159" s="65" t="s">
        <v>2492</v>
      </c>
      <c r="D159" s="65" t="s">
        <v>2492</v>
      </c>
      <c r="E159" s="66" t="s">
        <v>2492</v>
      </c>
      <c r="F159" s="22"/>
      <c r="G159" s="24"/>
      <c r="H159" s="22"/>
      <c r="I159" s="22"/>
      <c r="J159" s="22"/>
      <c r="K159" s="95"/>
      <c r="L159" s="50"/>
      <c r="M159" s="22"/>
      <c r="N159" s="22" t="s">
        <v>2195</v>
      </c>
      <c r="O159" s="46" t="str">
        <f>VLOOKUP(N159,Datos!$BJ$5:$BL$334,2,FALSE)</f>
        <v>ESPECIE</v>
      </c>
      <c r="P159" s="46" t="str">
        <f>VLOOKUP(N159,Datos!$BJ$5:$BL$334,3,FALSE)</f>
        <v>SUBESPECIE</v>
      </c>
      <c r="Q159" s="22"/>
      <c r="R159" s="65"/>
      <c r="S159" s="65"/>
      <c r="T159" s="65"/>
      <c r="U159" s="45"/>
    </row>
    <row r="160" spans="1:21" hidden="1">
      <c r="A160" s="58">
        <v>279</v>
      </c>
      <c r="B160" s="61"/>
      <c r="C160" s="65" t="s">
        <v>2492</v>
      </c>
      <c r="D160" s="65" t="s">
        <v>2492</v>
      </c>
      <c r="E160" s="66" t="s">
        <v>2492</v>
      </c>
      <c r="F160" s="22"/>
      <c r="G160" s="24"/>
      <c r="H160" s="22"/>
      <c r="I160" s="22"/>
      <c r="J160" s="22"/>
      <c r="K160" s="95"/>
      <c r="L160" s="50"/>
      <c r="M160" s="22"/>
      <c r="N160" s="22" t="s">
        <v>2195</v>
      </c>
      <c r="O160" s="46" t="str">
        <f>VLOOKUP(N160,Datos!$BJ$5:$BL$334,2,FALSE)</f>
        <v>ESPECIE</v>
      </c>
      <c r="P160" s="46" t="str">
        <f>VLOOKUP(N160,Datos!$BJ$5:$BL$334,3,FALSE)</f>
        <v>SUBESPECIE</v>
      </c>
      <c r="Q160" s="22"/>
      <c r="R160" s="65"/>
      <c r="S160" s="65"/>
      <c r="T160" s="65"/>
      <c r="U160" s="45"/>
    </row>
    <row r="161" spans="1:21" hidden="1">
      <c r="A161" s="58">
        <v>280</v>
      </c>
      <c r="B161" s="61"/>
      <c r="C161" s="65" t="s">
        <v>2492</v>
      </c>
      <c r="D161" s="65" t="s">
        <v>2492</v>
      </c>
      <c r="E161" s="66" t="s">
        <v>2492</v>
      </c>
      <c r="F161" s="22"/>
      <c r="G161" s="24"/>
      <c r="H161" s="22"/>
      <c r="I161" s="22"/>
      <c r="J161" s="22"/>
      <c r="K161" s="95"/>
      <c r="L161" s="50"/>
      <c r="M161" s="22"/>
      <c r="N161" s="22" t="s">
        <v>2195</v>
      </c>
      <c r="O161" s="46" t="str">
        <f>VLOOKUP(N161,Datos!$BJ$5:$BL$334,2,FALSE)</f>
        <v>ESPECIE</v>
      </c>
      <c r="P161" s="46" t="str">
        <f>VLOOKUP(N161,Datos!$BJ$5:$BL$334,3,FALSE)</f>
        <v>SUBESPECIE</v>
      </c>
      <c r="Q161" s="22"/>
      <c r="R161" s="65"/>
      <c r="S161" s="65"/>
      <c r="T161" s="65"/>
      <c r="U161" s="45"/>
    </row>
    <row r="162" spans="1:21" hidden="1">
      <c r="A162" s="58">
        <v>281</v>
      </c>
      <c r="B162" s="61"/>
      <c r="C162" s="65" t="s">
        <v>2492</v>
      </c>
      <c r="D162" s="65" t="s">
        <v>2492</v>
      </c>
      <c r="E162" s="66" t="s">
        <v>2492</v>
      </c>
      <c r="F162" s="22"/>
      <c r="G162" s="24"/>
      <c r="H162" s="22"/>
      <c r="I162" s="22"/>
      <c r="J162" s="22"/>
      <c r="K162" s="95"/>
      <c r="L162" s="50"/>
      <c r="M162" s="22"/>
      <c r="N162" s="22" t="s">
        <v>2195</v>
      </c>
      <c r="O162" s="46" t="str">
        <f>VLOOKUP(N162,Datos!$BJ$5:$BL$334,2,FALSE)</f>
        <v>ESPECIE</v>
      </c>
      <c r="P162" s="46" t="str">
        <f>VLOOKUP(N162,Datos!$BJ$5:$BL$334,3,FALSE)</f>
        <v>SUBESPECIE</v>
      </c>
      <c r="Q162" s="22"/>
      <c r="R162" s="65"/>
      <c r="S162" s="65"/>
      <c r="T162" s="65"/>
      <c r="U162" s="45"/>
    </row>
    <row r="163" spans="1:21" hidden="1">
      <c r="A163" s="58">
        <v>282</v>
      </c>
      <c r="B163" s="61"/>
      <c r="C163" s="65" t="s">
        <v>2492</v>
      </c>
      <c r="D163" s="65" t="s">
        <v>2492</v>
      </c>
      <c r="E163" s="66" t="s">
        <v>2492</v>
      </c>
      <c r="F163" s="22"/>
      <c r="G163" s="24"/>
      <c r="H163" s="22"/>
      <c r="I163" s="22"/>
      <c r="J163" s="22"/>
      <c r="K163" s="95"/>
      <c r="L163" s="50"/>
      <c r="M163" s="22"/>
      <c r="N163" s="22" t="s">
        <v>2195</v>
      </c>
      <c r="O163" s="46" t="str">
        <f>VLOOKUP(N163,Datos!$BJ$5:$BL$334,2,FALSE)</f>
        <v>ESPECIE</v>
      </c>
      <c r="P163" s="46" t="str">
        <f>VLOOKUP(N163,Datos!$BJ$5:$BL$334,3,FALSE)</f>
        <v>SUBESPECIE</v>
      </c>
      <c r="Q163" s="22"/>
      <c r="R163" s="65"/>
      <c r="S163" s="65"/>
      <c r="T163" s="65"/>
      <c r="U163" s="45"/>
    </row>
    <row r="164" spans="1:21" hidden="1">
      <c r="A164" s="58">
        <v>283</v>
      </c>
      <c r="B164" s="61"/>
      <c r="C164" s="65" t="s">
        <v>2492</v>
      </c>
      <c r="D164" s="65" t="s">
        <v>2492</v>
      </c>
      <c r="E164" s="66" t="s">
        <v>2492</v>
      </c>
      <c r="F164" s="22"/>
      <c r="G164" s="24"/>
      <c r="H164" s="22"/>
      <c r="I164" s="22"/>
      <c r="J164" s="22"/>
      <c r="K164" s="95"/>
      <c r="L164" s="50"/>
      <c r="M164" s="22"/>
      <c r="N164" s="22" t="s">
        <v>2195</v>
      </c>
      <c r="O164" s="46" t="str">
        <f>VLOOKUP(N164,Datos!$BJ$5:$BL$334,2,FALSE)</f>
        <v>ESPECIE</v>
      </c>
      <c r="P164" s="46" t="str">
        <f>VLOOKUP(N164,Datos!$BJ$5:$BL$334,3,FALSE)</f>
        <v>SUBESPECIE</v>
      </c>
      <c r="Q164" s="22"/>
      <c r="R164" s="65"/>
      <c r="S164" s="65"/>
      <c r="T164" s="65"/>
      <c r="U164" s="45"/>
    </row>
    <row r="165" spans="1:21" hidden="1">
      <c r="A165" s="58">
        <v>284</v>
      </c>
      <c r="B165" s="61"/>
      <c r="C165" s="65" t="s">
        <v>2492</v>
      </c>
      <c r="D165" s="65" t="s">
        <v>2492</v>
      </c>
      <c r="E165" s="66" t="s">
        <v>2492</v>
      </c>
      <c r="F165" s="22"/>
      <c r="G165" s="22"/>
      <c r="H165" s="22"/>
      <c r="I165" s="22"/>
      <c r="J165" s="22"/>
      <c r="K165" s="95"/>
      <c r="L165" s="50"/>
      <c r="M165" s="22"/>
      <c r="N165" s="22" t="s">
        <v>2195</v>
      </c>
      <c r="O165" s="46" t="str">
        <f>VLOOKUP(N165,Datos!$BJ$5:$BL$334,2,FALSE)</f>
        <v>ESPECIE</v>
      </c>
      <c r="P165" s="46" t="str">
        <f>VLOOKUP(N165,Datos!$BJ$5:$BL$334,3,FALSE)</f>
        <v>SUBESPECIE</v>
      </c>
      <c r="Q165" s="22"/>
      <c r="R165" s="65"/>
      <c r="S165" s="65"/>
      <c r="T165" s="65"/>
      <c r="U165" s="45"/>
    </row>
    <row r="166" spans="1:21" hidden="1">
      <c r="A166" s="58">
        <v>285</v>
      </c>
      <c r="B166" s="61"/>
      <c r="C166" s="65" t="s">
        <v>2492</v>
      </c>
      <c r="D166" s="65" t="s">
        <v>2492</v>
      </c>
      <c r="E166" s="66" t="s">
        <v>2492</v>
      </c>
      <c r="F166" s="22"/>
      <c r="G166" s="22"/>
      <c r="H166" s="22"/>
      <c r="I166" s="22"/>
      <c r="J166" s="22"/>
      <c r="K166" s="95"/>
      <c r="L166" s="50"/>
      <c r="M166" s="22"/>
      <c r="N166" s="22" t="s">
        <v>2195</v>
      </c>
      <c r="O166" s="46" t="str">
        <f>VLOOKUP(N166,Datos!$BJ$5:$BL$334,2,FALSE)</f>
        <v>ESPECIE</v>
      </c>
      <c r="P166" s="46" t="str">
        <f>VLOOKUP(N166,Datos!$BJ$5:$BL$334,3,FALSE)</f>
        <v>SUBESPECIE</v>
      </c>
      <c r="Q166" s="22"/>
      <c r="R166" s="65"/>
      <c r="S166" s="65"/>
      <c r="T166" s="65"/>
      <c r="U166" s="45"/>
    </row>
    <row r="167" spans="1:21" hidden="1">
      <c r="A167" s="58">
        <v>286</v>
      </c>
      <c r="B167" s="61"/>
      <c r="C167" s="65" t="s">
        <v>2492</v>
      </c>
      <c r="D167" s="65" t="s">
        <v>2492</v>
      </c>
      <c r="E167" s="66" t="s">
        <v>2492</v>
      </c>
      <c r="F167" s="22"/>
      <c r="G167" s="24"/>
      <c r="H167" s="22"/>
      <c r="I167" s="22"/>
      <c r="J167" s="22"/>
      <c r="K167" s="95"/>
      <c r="L167" s="50"/>
      <c r="M167" s="22"/>
      <c r="N167" s="22" t="s">
        <v>2195</v>
      </c>
      <c r="O167" s="46" t="str">
        <f>VLOOKUP(N167,Datos!$BJ$5:$BL$334,2,FALSE)</f>
        <v>ESPECIE</v>
      </c>
      <c r="P167" s="46" t="str">
        <f>VLOOKUP(N167,Datos!$BJ$5:$BL$334,3,FALSE)</f>
        <v>SUBESPECIE</v>
      </c>
      <c r="Q167" s="22"/>
      <c r="R167" s="65"/>
      <c r="S167" s="65"/>
      <c r="T167" s="65"/>
      <c r="U167" s="45"/>
    </row>
    <row r="168" spans="1:21" hidden="1">
      <c r="A168" s="58">
        <v>287</v>
      </c>
      <c r="B168" s="61"/>
      <c r="C168" s="65" t="s">
        <v>2492</v>
      </c>
      <c r="D168" s="65" t="s">
        <v>2492</v>
      </c>
      <c r="E168" s="66" t="s">
        <v>2492</v>
      </c>
      <c r="F168" s="22"/>
      <c r="G168" s="22"/>
      <c r="H168" s="22"/>
      <c r="I168" s="22"/>
      <c r="J168" s="22"/>
      <c r="K168" s="95"/>
      <c r="L168" s="50"/>
      <c r="M168" s="22"/>
      <c r="N168" s="22" t="s">
        <v>2195</v>
      </c>
      <c r="O168" s="46" t="str">
        <f>VLOOKUP(N168,Datos!$BJ$5:$BL$334,2,FALSE)</f>
        <v>ESPECIE</v>
      </c>
      <c r="P168" s="46" t="str">
        <f>VLOOKUP(N168,Datos!$BJ$5:$BL$334,3,FALSE)</f>
        <v>SUBESPECIE</v>
      </c>
      <c r="Q168" s="22"/>
      <c r="R168" s="65"/>
      <c r="S168" s="65"/>
      <c r="T168" s="65"/>
      <c r="U168" s="45"/>
    </row>
    <row r="169" spans="1:21" hidden="1">
      <c r="A169" s="58">
        <v>288</v>
      </c>
      <c r="B169" s="61"/>
      <c r="C169" s="65" t="s">
        <v>2492</v>
      </c>
      <c r="D169" s="65" t="s">
        <v>2492</v>
      </c>
      <c r="E169" s="66" t="s">
        <v>2492</v>
      </c>
      <c r="F169" s="22"/>
      <c r="G169" s="22"/>
      <c r="H169" s="22"/>
      <c r="I169" s="22"/>
      <c r="J169" s="22"/>
      <c r="K169" s="95"/>
      <c r="L169" s="50"/>
      <c r="M169" s="22"/>
      <c r="N169" s="22" t="s">
        <v>2195</v>
      </c>
      <c r="O169" s="46" t="str">
        <f>VLOOKUP(N169,Datos!$BJ$5:$BL$334,2,FALSE)</f>
        <v>ESPECIE</v>
      </c>
      <c r="P169" s="46" t="str">
        <f>VLOOKUP(N169,Datos!$BJ$5:$BL$334,3,FALSE)</f>
        <v>SUBESPECIE</v>
      </c>
      <c r="Q169" s="22"/>
      <c r="R169" s="65"/>
      <c r="S169" s="65"/>
      <c r="T169" s="65"/>
      <c r="U169" s="45"/>
    </row>
    <row r="170" spans="1:21" hidden="1">
      <c r="A170" s="58">
        <v>289</v>
      </c>
      <c r="B170" s="61"/>
      <c r="C170" s="65" t="s">
        <v>2492</v>
      </c>
      <c r="D170" s="65" t="s">
        <v>2492</v>
      </c>
      <c r="E170" s="66" t="s">
        <v>2492</v>
      </c>
      <c r="F170" s="22"/>
      <c r="G170" s="24"/>
      <c r="H170" s="22"/>
      <c r="I170" s="22"/>
      <c r="J170" s="22"/>
      <c r="K170" s="95"/>
      <c r="L170" s="50"/>
      <c r="M170" s="22"/>
      <c r="N170" s="22" t="s">
        <v>2195</v>
      </c>
      <c r="O170" s="46" t="str">
        <f>VLOOKUP(N170,Datos!$BJ$5:$BL$334,2,FALSE)</f>
        <v>ESPECIE</v>
      </c>
      <c r="P170" s="46" t="str">
        <f>VLOOKUP(N170,Datos!$BJ$5:$BL$334,3,FALSE)</f>
        <v>SUBESPECIE</v>
      </c>
      <c r="Q170" s="22"/>
      <c r="R170" s="65"/>
      <c r="S170" s="65"/>
      <c r="T170" s="65"/>
      <c r="U170" s="45"/>
    </row>
    <row r="171" spans="1:21" hidden="1">
      <c r="A171" s="58">
        <v>290</v>
      </c>
      <c r="B171" s="61"/>
      <c r="C171" s="65" t="s">
        <v>2492</v>
      </c>
      <c r="D171" s="65" t="s">
        <v>2492</v>
      </c>
      <c r="E171" s="66" t="s">
        <v>2492</v>
      </c>
      <c r="F171" s="22"/>
      <c r="G171" s="22"/>
      <c r="H171" s="22"/>
      <c r="I171" s="22"/>
      <c r="J171" s="22"/>
      <c r="K171" s="95"/>
      <c r="L171" s="50"/>
      <c r="M171" s="22"/>
      <c r="N171" s="22" t="s">
        <v>2195</v>
      </c>
      <c r="O171" s="46" t="str">
        <f>VLOOKUP(N171,Datos!$BJ$5:$BL$334,2,FALSE)</f>
        <v>ESPECIE</v>
      </c>
      <c r="P171" s="46" t="str">
        <f>VLOOKUP(N171,Datos!$BJ$5:$BL$334,3,FALSE)</f>
        <v>SUBESPECIE</v>
      </c>
      <c r="Q171" s="22"/>
      <c r="R171" s="65"/>
      <c r="S171" s="65"/>
      <c r="T171" s="65"/>
      <c r="U171" s="45"/>
    </row>
    <row r="172" spans="1:21" hidden="1">
      <c r="A172" s="58">
        <v>291</v>
      </c>
      <c r="B172" s="61"/>
      <c r="C172" s="65" t="s">
        <v>2492</v>
      </c>
      <c r="D172" s="65" t="s">
        <v>2492</v>
      </c>
      <c r="E172" s="66" t="s">
        <v>2492</v>
      </c>
      <c r="F172" s="22"/>
      <c r="G172" s="24"/>
      <c r="H172" s="22"/>
      <c r="I172" s="22"/>
      <c r="J172" s="22"/>
      <c r="K172" s="95"/>
      <c r="L172" s="50"/>
      <c r="M172" s="22"/>
      <c r="N172" s="22" t="s">
        <v>2195</v>
      </c>
      <c r="O172" s="46" t="str">
        <f>VLOOKUP(N172,Datos!$BJ$5:$BL$334,2,FALSE)</f>
        <v>ESPECIE</v>
      </c>
      <c r="P172" s="46" t="str">
        <f>VLOOKUP(N172,Datos!$BJ$5:$BL$334,3,FALSE)</f>
        <v>SUBESPECIE</v>
      </c>
      <c r="Q172" s="22"/>
      <c r="R172" s="65"/>
      <c r="S172" s="65"/>
      <c r="T172" s="65"/>
      <c r="U172" s="45"/>
    </row>
    <row r="173" spans="1:21" hidden="1">
      <c r="A173" s="58">
        <v>292</v>
      </c>
      <c r="B173" s="61"/>
      <c r="C173" s="65" t="s">
        <v>2492</v>
      </c>
      <c r="D173" s="65" t="s">
        <v>2492</v>
      </c>
      <c r="E173" s="66" t="s">
        <v>2492</v>
      </c>
      <c r="F173" s="22"/>
      <c r="G173" s="22"/>
      <c r="H173" s="22"/>
      <c r="I173" s="22"/>
      <c r="J173" s="22"/>
      <c r="K173" s="95"/>
      <c r="L173" s="50"/>
      <c r="M173" s="22"/>
      <c r="N173" s="22" t="s">
        <v>2195</v>
      </c>
      <c r="O173" s="46" t="str">
        <f>VLOOKUP(N173,Datos!$BJ$5:$BL$334,2,FALSE)</f>
        <v>ESPECIE</v>
      </c>
      <c r="P173" s="46" t="str">
        <f>VLOOKUP(N173,Datos!$BJ$5:$BL$334,3,FALSE)</f>
        <v>SUBESPECIE</v>
      </c>
      <c r="Q173" s="22"/>
      <c r="R173" s="65"/>
      <c r="S173" s="65"/>
      <c r="T173" s="65"/>
      <c r="U173" s="45"/>
    </row>
    <row r="174" spans="1:21" hidden="1">
      <c r="A174" s="58">
        <v>293</v>
      </c>
      <c r="B174" s="61"/>
      <c r="C174" s="65" t="s">
        <v>2492</v>
      </c>
      <c r="D174" s="65" t="s">
        <v>2492</v>
      </c>
      <c r="E174" s="66" t="s">
        <v>2492</v>
      </c>
      <c r="F174" s="22"/>
      <c r="G174" s="24"/>
      <c r="H174" s="22"/>
      <c r="I174" s="22"/>
      <c r="J174" s="22"/>
      <c r="K174" s="95"/>
      <c r="L174" s="50"/>
      <c r="M174" s="22"/>
      <c r="N174" s="22" t="s">
        <v>2195</v>
      </c>
      <c r="O174" s="46" t="str">
        <f>VLOOKUP(N174,Datos!$BJ$5:$BL$334,2,FALSE)</f>
        <v>ESPECIE</v>
      </c>
      <c r="P174" s="46" t="str">
        <f>VLOOKUP(N174,Datos!$BJ$5:$BL$334,3,FALSE)</f>
        <v>SUBESPECIE</v>
      </c>
      <c r="Q174" s="22"/>
      <c r="R174" s="65"/>
      <c r="S174" s="65"/>
      <c r="T174" s="65"/>
      <c r="U174" s="45"/>
    </row>
    <row r="175" spans="1:21" hidden="1">
      <c r="A175" s="58">
        <v>294</v>
      </c>
      <c r="B175" s="61"/>
      <c r="C175" s="65" t="s">
        <v>2492</v>
      </c>
      <c r="D175" s="65" t="s">
        <v>2492</v>
      </c>
      <c r="E175" s="66" t="s">
        <v>2492</v>
      </c>
      <c r="F175" s="22"/>
      <c r="G175" s="22"/>
      <c r="H175" s="22"/>
      <c r="I175" s="22"/>
      <c r="J175" s="22"/>
      <c r="K175" s="95"/>
      <c r="L175" s="50"/>
      <c r="M175" s="22"/>
      <c r="N175" s="22" t="s">
        <v>2195</v>
      </c>
      <c r="O175" s="46" t="str">
        <f>VLOOKUP(N175,Datos!$BJ$5:$BL$334,2,FALSE)</f>
        <v>ESPECIE</v>
      </c>
      <c r="P175" s="46" t="str">
        <f>VLOOKUP(N175,Datos!$BJ$5:$BL$334,3,FALSE)</f>
        <v>SUBESPECIE</v>
      </c>
      <c r="Q175" s="22"/>
      <c r="R175" s="65"/>
      <c r="S175" s="65"/>
      <c r="T175" s="65"/>
      <c r="U175" s="45"/>
    </row>
    <row r="176" spans="1:21" hidden="1">
      <c r="A176" s="58">
        <v>295</v>
      </c>
      <c r="B176" s="61"/>
      <c r="C176" s="65" t="s">
        <v>2492</v>
      </c>
      <c r="D176" s="65" t="s">
        <v>2492</v>
      </c>
      <c r="E176" s="66" t="s">
        <v>2492</v>
      </c>
      <c r="F176" s="22"/>
      <c r="G176" s="24"/>
      <c r="H176" s="22"/>
      <c r="I176" s="22"/>
      <c r="J176" s="22"/>
      <c r="K176" s="95"/>
      <c r="L176" s="50"/>
      <c r="M176" s="22"/>
      <c r="N176" s="22" t="s">
        <v>2195</v>
      </c>
      <c r="O176" s="46" t="str">
        <f>VLOOKUP(N176,Datos!$BJ$5:$BL$334,2,FALSE)</f>
        <v>ESPECIE</v>
      </c>
      <c r="P176" s="46" t="str">
        <f>VLOOKUP(N176,Datos!$BJ$5:$BL$334,3,FALSE)</f>
        <v>SUBESPECIE</v>
      </c>
      <c r="Q176" s="22"/>
      <c r="R176" s="65"/>
      <c r="S176" s="65"/>
      <c r="T176" s="65"/>
      <c r="U176" s="45"/>
    </row>
    <row r="177" spans="1:21" hidden="1">
      <c r="A177" s="58">
        <v>296</v>
      </c>
      <c r="B177" s="61"/>
      <c r="C177" s="65" t="s">
        <v>2492</v>
      </c>
      <c r="D177" s="65" t="s">
        <v>2492</v>
      </c>
      <c r="E177" s="66" t="s">
        <v>2492</v>
      </c>
      <c r="F177" s="22"/>
      <c r="G177" s="24"/>
      <c r="H177" s="22"/>
      <c r="I177" s="22"/>
      <c r="J177" s="22"/>
      <c r="K177" s="95"/>
      <c r="L177" s="50"/>
      <c r="M177" s="22"/>
      <c r="N177" s="22" t="s">
        <v>2195</v>
      </c>
      <c r="O177" s="46" t="str">
        <f>VLOOKUP(N177,Datos!$BJ$5:$BL$334,2,FALSE)</f>
        <v>ESPECIE</v>
      </c>
      <c r="P177" s="46" t="str">
        <f>VLOOKUP(N177,Datos!$BJ$5:$BL$334,3,FALSE)</f>
        <v>SUBESPECIE</v>
      </c>
      <c r="Q177" s="22"/>
      <c r="R177" s="65"/>
      <c r="S177" s="65"/>
      <c r="T177" s="65"/>
      <c r="U177" s="45"/>
    </row>
    <row r="178" spans="1:21" hidden="1">
      <c r="A178" s="58">
        <v>297</v>
      </c>
      <c r="B178" s="61"/>
      <c r="C178" s="65" t="s">
        <v>2492</v>
      </c>
      <c r="D178" s="65" t="s">
        <v>2492</v>
      </c>
      <c r="E178" s="66" t="s">
        <v>2492</v>
      </c>
      <c r="F178" s="22"/>
      <c r="G178" s="24"/>
      <c r="H178" s="22"/>
      <c r="I178" s="22"/>
      <c r="J178" s="22"/>
      <c r="K178" s="95"/>
      <c r="L178" s="50"/>
      <c r="M178" s="22"/>
      <c r="N178" s="22" t="s">
        <v>2195</v>
      </c>
      <c r="O178" s="46" t="str">
        <f>VLOOKUP(N178,Datos!$BJ$5:$BL$334,2,FALSE)</f>
        <v>ESPECIE</v>
      </c>
      <c r="P178" s="46" t="str">
        <f>VLOOKUP(N178,Datos!$BJ$5:$BL$334,3,FALSE)</f>
        <v>SUBESPECIE</v>
      </c>
      <c r="Q178" s="22"/>
      <c r="R178" s="65"/>
      <c r="S178" s="65"/>
      <c r="T178" s="65"/>
      <c r="U178" s="45"/>
    </row>
    <row r="179" spans="1:21" hidden="1">
      <c r="A179" s="58">
        <v>298</v>
      </c>
      <c r="B179" s="61"/>
      <c r="C179" s="65" t="s">
        <v>2492</v>
      </c>
      <c r="D179" s="65" t="s">
        <v>2492</v>
      </c>
      <c r="E179" s="66" t="s">
        <v>2492</v>
      </c>
      <c r="F179" s="22"/>
      <c r="G179" s="24"/>
      <c r="H179" s="22"/>
      <c r="I179" s="22"/>
      <c r="J179" s="22"/>
      <c r="K179" s="95"/>
      <c r="L179" s="50"/>
      <c r="M179" s="22"/>
      <c r="N179" s="22" t="s">
        <v>2195</v>
      </c>
      <c r="O179" s="46" t="str">
        <f>VLOOKUP(N179,Datos!$BJ$5:$BL$334,2,FALSE)</f>
        <v>ESPECIE</v>
      </c>
      <c r="P179" s="46" t="str">
        <f>VLOOKUP(N179,Datos!$BJ$5:$BL$334,3,FALSE)</f>
        <v>SUBESPECIE</v>
      </c>
      <c r="Q179" s="22"/>
      <c r="R179" s="65"/>
      <c r="S179" s="65"/>
      <c r="T179" s="65"/>
      <c r="U179" s="45"/>
    </row>
    <row r="180" spans="1:21" hidden="1">
      <c r="A180" s="58">
        <v>299</v>
      </c>
      <c r="B180" s="61"/>
      <c r="C180" s="65" t="s">
        <v>2492</v>
      </c>
      <c r="D180" s="65" t="s">
        <v>2492</v>
      </c>
      <c r="E180" s="66" t="s">
        <v>2492</v>
      </c>
      <c r="F180" s="22"/>
      <c r="G180" s="24"/>
      <c r="H180" s="22"/>
      <c r="I180" s="22"/>
      <c r="J180" s="22"/>
      <c r="K180" s="95"/>
      <c r="L180" s="50"/>
      <c r="M180" s="22"/>
      <c r="N180" s="22" t="s">
        <v>2195</v>
      </c>
      <c r="O180" s="46" t="str">
        <f>VLOOKUP(N180,Datos!$BJ$5:$BL$334,2,FALSE)</f>
        <v>ESPECIE</v>
      </c>
      <c r="P180" s="46" t="str">
        <f>VLOOKUP(N180,Datos!$BJ$5:$BL$334,3,FALSE)</f>
        <v>SUBESPECIE</v>
      </c>
      <c r="Q180" s="22"/>
      <c r="R180" s="65"/>
      <c r="S180" s="65"/>
      <c r="T180" s="65"/>
      <c r="U180" s="45"/>
    </row>
    <row r="181" spans="1:21" hidden="1">
      <c r="A181" s="58">
        <v>300</v>
      </c>
      <c r="B181" s="61"/>
      <c r="C181" s="65" t="s">
        <v>2492</v>
      </c>
      <c r="D181" s="65" t="s">
        <v>2492</v>
      </c>
      <c r="E181" s="66" t="s">
        <v>2492</v>
      </c>
      <c r="F181" s="22"/>
      <c r="G181" s="24"/>
      <c r="H181" s="22"/>
      <c r="I181" s="22"/>
      <c r="J181" s="22"/>
      <c r="K181" s="95"/>
      <c r="L181" s="50"/>
      <c r="M181" s="22"/>
      <c r="N181" s="22" t="s">
        <v>2195</v>
      </c>
      <c r="O181" s="46" t="str">
        <f>VLOOKUP(N181,Datos!$BJ$5:$BL$334,2,FALSE)</f>
        <v>ESPECIE</v>
      </c>
      <c r="P181" s="46" t="str">
        <f>VLOOKUP(N181,Datos!$BJ$5:$BL$334,3,FALSE)</f>
        <v>SUBESPECIE</v>
      </c>
      <c r="Q181" s="22"/>
      <c r="R181" s="65"/>
      <c r="S181" s="65"/>
      <c r="T181" s="65"/>
      <c r="U181" s="45"/>
    </row>
    <row r="182" spans="1:21" hidden="1">
      <c r="A182" s="58">
        <v>301</v>
      </c>
      <c r="B182" s="61"/>
      <c r="C182" s="65" t="s">
        <v>2492</v>
      </c>
      <c r="D182" s="65" t="s">
        <v>2492</v>
      </c>
      <c r="E182" s="66" t="s">
        <v>2492</v>
      </c>
      <c r="F182" s="22"/>
      <c r="G182" s="24"/>
      <c r="H182" s="22"/>
      <c r="I182" s="22"/>
      <c r="J182" s="22"/>
      <c r="K182" s="95"/>
      <c r="L182" s="50"/>
      <c r="M182" s="22"/>
      <c r="N182" s="22" t="s">
        <v>2195</v>
      </c>
      <c r="O182" s="46" t="str">
        <f>VLOOKUP(N182,Datos!$BJ$5:$BL$334,2,FALSE)</f>
        <v>ESPECIE</v>
      </c>
      <c r="P182" s="46" t="str">
        <f>VLOOKUP(N182,Datos!$BJ$5:$BL$334,3,FALSE)</f>
        <v>SUBESPECIE</v>
      </c>
      <c r="Q182" s="22"/>
      <c r="R182" s="65"/>
      <c r="S182" s="65"/>
      <c r="T182" s="65"/>
      <c r="U182" s="45"/>
    </row>
    <row r="183" spans="1:21" hidden="1">
      <c r="A183" s="58">
        <v>302</v>
      </c>
      <c r="B183" s="61"/>
      <c r="C183" s="65" t="s">
        <v>2492</v>
      </c>
      <c r="D183" s="65" t="s">
        <v>2492</v>
      </c>
      <c r="E183" s="66" t="s">
        <v>2492</v>
      </c>
      <c r="F183" s="22"/>
      <c r="G183" s="22"/>
      <c r="H183" s="22"/>
      <c r="I183" s="22"/>
      <c r="J183" s="22"/>
      <c r="K183" s="95"/>
      <c r="L183" s="50"/>
      <c r="M183" s="22"/>
      <c r="N183" s="22" t="s">
        <v>2195</v>
      </c>
      <c r="O183" s="46" t="str">
        <f>VLOOKUP(N183,Datos!$BJ$5:$BL$334,2,FALSE)</f>
        <v>ESPECIE</v>
      </c>
      <c r="P183" s="46" t="str">
        <f>VLOOKUP(N183,Datos!$BJ$5:$BL$334,3,FALSE)</f>
        <v>SUBESPECIE</v>
      </c>
      <c r="Q183" s="22"/>
      <c r="R183" s="65"/>
      <c r="S183" s="65"/>
      <c r="T183" s="65"/>
      <c r="U183" s="45"/>
    </row>
    <row r="184" spans="1:21" hidden="1">
      <c r="A184" s="58">
        <v>303</v>
      </c>
      <c r="B184" s="61"/>
      <c r="C184" s="65" t="s">
        <v>2492</v>
      </c>
      <c r="D184" s="65" t="s">
        <v>2492</v>
      </c>
      <c r="E184" s="66" t="s">
        <v>2492</v>
      </c>
      <c r="F184" s="22"/>
      <c r="G184" s="24"/>
      <c r="H184" s="22"/>
      <c r="I184" s="22"/>
      <c r="J184" s="22"/>
      <c r="K184" s="95"/>
      <c r="L184" s="50"/>
      <c r="M184" s="22"/>
      <c r="N184" s="22" t="s">
        <v>2195</v>
      </c>
      <c r="O184" s="46" t="str">
        <f>VLOOKUP(N184,Datos!$BJ$5:$BL$334,2,FALSE)</f>
        <v>ESPECIE</v>
      </c>
      <c r="P184" s="46" t="str">
        <f>VLOOKUP(N184,Datos!$BJ$5:$BL$334,3,FALSE)</f>
        <v>SUBESPECIE</v>
      </c>
      <c r="Q184" s="22"/>
      <c r="R184" s="65"/>
      <c r="S184" s="65"/>
      <c r="T184" s="65"/>
      <c r="U184" s="45"/>
    </row>
    <row r="185" spans="1:21" hidden="1">
      <c r="A185" s="58">
        <v>304</v>
      </c>
      <c r="B185" s="61"/>
      <c r="C185" s="65" t="s">
        <v>2492</v>
      </c>
      <c r="D185" s="65" t="s">
        <v>2492</v>
      </c>
      <c r="E185" s="66" t="s">
        <v>2492</v>
      </c>
      <c r="F185" s="22"/>
      <c r="G185" s="22"/>
      <c r="H185" s="22"/>
      <c r="I185" s="22"/>
      <c r="J185" s="22"/>
      <c r="K185" s="95"/>
      <c r="L185" s="50"/>
      <c r="M185" s="22"/>
      <c r="N185" s="22" t="s">
        <v>2195</v>
      </c>
      <c r="O185" s="46" t="str">
        <f>VLOOKUP(N185,Datos!$BJ$5:$BL$334,2,FALSE)</f>
        <v>ESPECIE</v>
      </c>
      <c r="P185" s="46" t="str">
        <f>VLOOKUP(N185,Datos!$BJ$5:$BL$334,3,FALSE)</f>
        <v>SUBESPECIE</v>
      </c>
      <c r="Q185" s="22"/>
      <c r="R185" s="65"/>
      <c r="S185" s="65"/>
      <c r="T185" s="65"/>
      <c r="U185" s="45"/>
    </row>
    <row r="186" spans="1:21" hidden="1">
      <c r="A186" s="58">
        <v>305</v>
      </c>
      <c r="B186" s="61"/>
      <c r="C186" s="65" t="s">
        <v>2492</v>
      </c>
      <c r="D186" s="65" t="s">
        <v>2492</v>
      </c>
      <c r="E186" s="66" t="s">
        <v>2492</v>
      </c>
      <c r="F186" s="22"/>
      <c r="G186" s="22"/>
      <c r="H186" s="22"/>
      <c r="I186" s="22"/>
      <c r="J186" s="22"/>
      <c r="K186" s="95"/>
      <c r="L186" s="50"/>
      <c r="M186" s="22"/>
      <c r="N186" s="22" t="s">
        <v>2195</v>
      </c>
      <c r="O186" s="46" t="str">
        <f>VLOOKUP(N186,Datos!$BJ$5:$BL$334,2,FALSE)</f>
        <v>ESPECIE</v>
      </c>
      <c r="P186" s="46" t="str">
        <f>VLOOKUP(N186,Datos!$BJ$5:$BL$334,3,FALSE)</f>
        <v>SUBESPECIE</v>
      </c>
      <c r="Q186" s="22"/>
      <c r="R186" s="65"/>
      <c r="S186" s="65"/>
      <c r="T186" s="65"/>
      <c r="U186" s="45"/>
    </row>
    <row r="187" spans="1:21" hidden="1">
      <c r="A187" s="58">
        <v>306</v>
      </c>
      <c r="B187" s="61"/>
      <c r="C187" s="65" t="s">
        <v>2492</v>
      </c>
      <c r="D187" s="65" t="s">
        <v>2492</v>
      </c>
      <c r="E187" s="66" t="s">
        <v>2492</v>
      </c>
      <c r="F187" s="22"/>
      <c r="G187" s="22"/>
      <c r="H187" s="22"/>
      <c r="I187" s="22"/>
      <c r="J187" s="22"/>
      <c r="K187" s="95"/>
      <c r="L187" s="50"/>
      <c r="M187" s="22"/>
      <c r="N187" s="22" t="s">
        <v>2195</v>
      </c>
      <c r="O187" s="46" t="str">
        <f>VLOOKUP(N187,Datos!$BJ$5:$BL$334,2,FALSE)</f>
        <v>ESPECIE</v>
      </c>
      <c r="P187" s="46" t="str">
        <f>VLOOKUP(N187,Datos!$BJ$5:$BL$334,3,FALSE)</f>
        <v>SUBESPECIE</v>
      </c>
      <c r="Q187" s="22"/>
      <c r="R187" s="65"/>
      <c r="S187" s="65"/>
      <c r="T187" s="65"/>
      <c r="U187" s="45"/>
    </row>
    <row r="188" spans="1:21" hidden="1">
      <c r="A188" s="58">
        <v>307</v>
      </c>
      <c r="B188" s="61"/>
      <c r="C188" s="65" t="s">
        <v>2492</v>
      </c>
      <c r="D188" s="65" t="s">
        <v>2492</v>
      </c>
      <c r="E188" s="66" t="s">
        <v>2492</v>
      </c>
      <c r="F188" s="22"/>
      <c r="G188" s="22"/>
      <c r="H188" s="22"/>
      <c r="I188" s="22"/>
      <c r="J188" s="22"/>
      <c r="K188" s="95"/>
      <c r="L188" s="50"/>
      <c r="M188" s="22"/>
      <c r="N188" s="22" t="s">
        <v>2195</v>
      </c>
      <c r="O188" s="46" t="str">
        <f>VLOOKUP(N188,Datos!$BJ$5:$BL$334,2,FALSE)</f>
        <v>ESPECIE</v>
      </c>
      <c r="P188" s="46" t="str">
        <f>VLOOKUP(N188,Datos!$BJ$5:$BL$334,3,FALSE)</f>
        <v>SUBESPECIE</v>
      </c>
      <c r="Q188" s="22"/>
      <c r="R188" s="65"/>
      <c r="S188" s="65"/>
      <c r="T188" s="65"/>
      <c r="U188" s="45"/>
    </row>
    <row r="189" spans="1:21" hidden="1">
      <c r="A189" s="58">
        <v>308</v>
      </c>
      <c r="B189" s="61"/>
      <c r="C189" s="65" t="s">
        <v>2492</v>
      </c>
      <c r="D189" s="65" t="s">
        <v>2492</v>
      </c>
      <c r="E189" s="66" t="s">
        <v>2492</v>
      </c>
      <c r="F189" s="22"/>
      <c r="G189" s="22"/>
      <c r="H189" s="22"/>
      <c r="I189" s="22"/>
      <c r="J189" s="22"/>
      <c r="K189" s="95"/>
      <c r="L189" s="50"/>
      <c r="M189" s="22"/>
      <c r="N189" s="22" t="s">
        <v>2195</v>
      </c>
      <c r="O189" s="46" t="str">
        <f>VLOOKUP(N189,Datos!$BJ$5:$BL$334,2,FALSE)</f>
        <v>ESPECIE</v>
      </c>
      <c r="P189" s="46" t="str">
        <f>VLOOKUP(N189,Datos!$BJ$5:$BL$334,3,FALSE)</f>
        <v>SUBESPECIE</v>
      </c>
      <c r="Q189" s="22"/>
      <c r="R189" s="65"/>
      <c r="S189" s="65"/>
      <c r="T189" s="65"/>
      <c r="U189" s="45"/>
    </row>
    <row r="190" spans="1:21" hidden="1">
      <c r="A190" s="58">
        <v>309</v>
      </c>
      <c r="B190" s="61"/>
      <c r="C190" s="65" t="s">
        <v>2492</v>
      </c>
      <c r="D190" s="65" t="s">
        <v>2492</v>
      </c>
      <c r="E190" s="66" t="s">
        <v>2492</v>
      </c>
      <c r="F190" s="22"/>
      <c r="G190" s="22"/>
      <c r="H190" s="22"/>
      <c r="I190" s="22"/>
      <c r="J190" s="22"/>
      <c r="K190" s="95"/>
      <c r="L190" s="50"/>
      <c r="M190" s="22"/>
      <c r="N190" s="22" t="s">
        <v>2195</v>
      </c>
      <c r="O190" s="46" t="str">
        <f>VLOOKUP(N190,Datos!$BJ$5:$BL$334,2,FALSE)</f>
        <v>ESPECIE</v>
      </c>
      <c r="P190" s="46" t="str">
        <f>VLOOKUP(N190,Datos!$BJ$5:$BL$334,3,FALSE)</f>
        <v>SUBESPECIE</v>
      </c>
      <c r="Q190" s="22"/>
      <c r="R190" s="65"/>
      <c r="S190" s="65"/>
      <c r="T190" s="65"/>
      <c r="U190" s="45"/>
    </row>
    <row r="191" spans="1:21" hidden="1">
      <c r="A191" s="58">
        <v>310</v>
      </c>
      <c r="B191" s="61"/>
      <c r="C191" s="65" t="s">
        <v>2492</v>
      </c>
      <c r="D191" s="65" t="s">
        <v>2492</v>
      </c>
      <c r="E191" s="66" t="s">
        <v>2492</v>
      </c>
      <c r="F191" s="22"/>
      <c r="G191" s="22"/>
      <c r="H191" s="22"/>
      <c r="I191" s="22"/>
      <c r="J191" s="22"/>
      <c r="K191" s="95"/>
      <c r="L191" s="50"/>
      <c r="M191" s="22"/>
      <c r="N191" s="22" t="s">
        <v>2195</v>
      </c>
      <c r="O191" s="46" t="str">
        <f>VLOOKUP(N191,Datos!$BJ$5:$BL$334,2,FALSE)</f>
        <v>ESPECIE</v>
      </c>
      <c r="P191" s="46" t="str">
        <f>VLOOKUP(N191,Datos!$BJ$5:$BL$334,3,FALSE)</f>
        <v>SUBESPECIE</v>
      </c>
      <c r="Q191" s="22"/>
      <c r="R191" s="65"/>
      <c r="S191" s="65"/>
      <c r="T191" s="65"/>
      <c r="U191" s="45"/>
    </row>
    <row r="192" spans="1:21" hidden="1">
      <c r="A192" s="58">
        <v>311</v>
      </c>
      <c r="B192" s="61"/>
      <c r="C192" s="65" t="s">
        <v>2492</v>
      </c>
      <c r="D192" s="65" t="s">
        <v>2492</v>
      </c>
      <c r="E192" s="66" t="s">
        <v>2492</v>
      </c>
      <c r="F192" s="22"/>
      <c r="G192" s="22"/>
      <c r="H192" s="22"/>
      <c r="I192" s="22"/>
      <c r="J192" s="22"/>
      <c r="K192" s="95"/>
      <c r="L192" s="50"/>
      <c r="M192" s="22"/>
      <c r="N192" s="22" t="s">
        <v>2195</v>
      </c>
      <c r="O192" s="46" t="str">
        <f>VLOOKUP(N192,Datos!$BJ$5:$BL$334,2,FALSE)</f>
        <v>ESPECIE</v>
      </c>
      <c r="P192" s="46" t="str">
        <f>VLOOKUP(N192,Datos!$BJ$5:$BL$334,3,FALSE)</f>
        <v>SUBESPECIE</v>
      </c>
      <c r="Q192" s="22"/>
      <c r="R192" s="65"/>
      <c r="S192" s="65"/>
      <c r="T192" s="65"/>
      <c r="U192" s="45"/>
    </row>
    <row r="193" spans="1:21" hidden="1">
      <c r="A193" s="58">
        <v>312</v>
      </c>
      <c r="B193" s="61"/>
      <c r="C193" s="65" t="s">
        <v>2492</v>
      </c>
      <c r="D193" s="65" t="s">
        <v>2492</v>
      </c>
      <c r="E193" s="66" t="s">
        <v>2492</v>
      </c>
      <c r="F193" s="22"/>
      <c r="G193" s="22"/>
      <c r="H193" s="22"/>
      <c r="I193" s="22"/>
      <c r="J193" s="22"/>
      <c r="K193" s="95"/>
      <c r="L193" s="50"/>
      <c r="M193" s="22"/>
      <c r="N193" s="22" t="s">
        <v>2195</v>
      </c>
      <c r="O193" s="46" t="str">
        <f>VLOOKUP(N193,Datos!$BJ$5:$BL$334,2,FALSE)</f>
        <v>ESPECIE</v>
      </c>
      <c r="P193" s="46" t="str">
        <f>VLOOKUP(N193,Datos!$BJ$5:$BL$334,3,FALSE)</f>
        <v>SUBESPECIE</v>
      </c>
      <c r="Q193" s="22"/>
      <c r="R193" s="65"/>
      <c r="S193" s="65"/>
      <c r="T193" s="65"/>
      <c r="U193" s="45"/>
    </row>
    <row r="194" spans="1:21" hidden="1">
      <c r="A194" s="58">
        <v>313</v>
      </c>
      <c r="B194" s="61"/>
      <c r="C194" s="65" t="s">
        <v>2492</v>
      </c>
      <c r="D194" s="65" t="s">
        <v>2492</v>
      </c>
      <c r="E194" s="66" t="s">
        <v>2492</v>
      </c>
      <c r="F194" s="22"/>
      <c r="G194" s="22"/>
      <c r="H194" s="22"/>
      <c r="I194" s="22"/>
      <c r="J194" s="22"/>
      <c r="K194" s="95"/>
      <c r="L194" s="50"/>
      <c r="M194" s="22"/>
      <c r="N194" s="22" t="s">
        <v>2195</v>
      </c>
      <c r="O194" s="46" t="str">
        <f>VLOOKUP(N194,Datos!$BJ$5:$BL$334,2,FALSE)</f>
        <v>ESPECIE</v>
      </c>
      <c r="P194" s="46" t="str">
        <f>VLOOKUP(N194,Datos!$BJ$5:$BL$334,3,FALSE)</f>
        <v>SUBESPECIE</v>
      </c>
      <c r="Q194" s="22"/>
      <c r="R194" s="65"/>
      <c r="S194" s="65"/>
      <c r="T194" s="65"/>
      <c r="U194" s="45"/>
    </row>
    <row r="195" spans="1:21" hidden="1">
      <c r="A195" s="58">
        <v>314</v>
      </c>
      <c r="B195" s="61"/>
      <c r="C195" s="65" t="s">
        <v>2492</v>
      </c>
      <c r="D195" s="65" t="s">
        <v>2492</v>
      </c>
      <c r="E195" s="66" t="s">
        <v>2492</v>
      </c>
      <c r="F195" s="22"/>
      <c r="G195" s="22"/>
      <c r="H195" s="22"/>
      <c r="I195" s="22"/>
      <c r="J195" s="22"/>
      <c r="K195" s="95"/>
      <c r="L195" s="50"/>
      <c r="M195" s="22"/>
      <c r="N195" s="22" t="s">
        <v>2195</v>
      </c>
      <c r="O195" s="46" t="str">
        <f>VLOOKUP(N195,Datos!$BJ$5:$BL$334,2,FALSE)</f>
        <v>ESPECIE</v>
      </c>
      <c r="P195" s="46" t="str">
        <f>VLOOKUP(N195,Datos!$BJ$5:$BL$334,3,FALSE)</f>
        <v>SUBESPECIE</v>
      </c>
      <c r="Q195" s="22"/>
      <c r="R195" s="65"/>
      <c r="S195" s="65"/>
      <c r="T195" s="65"/>
      <c r="U195" s="45"/>
    </row>
    <row r="196" spans="1:21" hidden="1">
      <c r="A196" s="58">
        <v>315</v>
      </c>
      <c r="B196" s="61"/>
      <c r="C196" s="65" t="s">
        <v>2492</v>
      </c>
      <c r="D196" s="65" t="s">
        <v>2492</v>
      </c>
      <c r="E196" s="66" t="s">
        <v>2492</v>
      </c>
      <c r="F196" s="22"/>
      <c r="G196" s="22"/>
      <c r="H196" s="22"/>
      <c r="I196" s="22"/>
      <c r="J196" s="22"/>
      <c r="K196" s="95"/>
      <c r="L196" s="50"/>
      <c r="M196" s="22"/>
      <c r="N196" s="22" t="s">
        <v>2195</v>
      </c>
      <c r="O196" s="46" t="str">
        <f>VLOOKUP(N196,Datos!$BJ$5:$BL$334,2,FALSE)</f>
        <v>ESPECIE</v>
      </c>
      <c r="P196" s="46" t="str">
        <f>VLOOKUP(N196,Datos!$BJ$5:$BL$334,3,FALSE)</f>
        <v>SUBESPECIE</v>
      </c>
      <c r="Q196" s="22"/>
      <c r="R196" s="65"/>
      <c r="S196" s="65"/>
      <c r="T196" s="65"/>
      <c r="U196" s="45"/>
    </row>
    <row r="197" spans="1:21" hidden="1">
      <c r="A197" s="58">
        <v>316</v>
      </c>
      <c r="B197" s="61"/>
      <c r="C197" s="65" t="s">
        <v>2492</v>
      </c>
      <c r="D197" s="65" t="s">
        <v>2492</v>
      </c>
      <c r="E197" s="66" t="s">
        <v>2492</v>
      </c>
      <c r="F197" s="22"/>
      <c r="G197" s="22"/>
      <c r="H197" s="22"/>
      <c r="I197" s="22"/>
      <c r="J197" s="22"/>
      <c r="K197" s="95"/>
      <c r="L197" s="50"/>
      <c r="M197" s="22"/>
      <c r="N197" s="22" t="s">
        <v>2195</v>
      </c>
      <c r="O197" s="46" t="str">
        <f>VLOOKUP(N197,Datos!$BJ$5:$BL$334,2,FALSE)</f>
        <v>ESPECIE</v>
      </c>
      <c r="P197" s="46" t="str">
        <f>VLOOKUP(N197,Datos!$BJ$5:$BL$334,3,FALSE)</f>
        <v>SUBESPECIE</v>
      </c>
      <c r="Q197" s="22"/>
      <c r="R197" s="65"/>
      <c r="S197" s="65"/>
      <c r="T197" s="65"/>
      <c r="U197" s="45"/>
    </row>
    <row r="198" spans="1:21" hidden="1">
      <c r="A198" s="58">
        <v>317</v>
      </c>
      <c r="B198" s="61"/>
      <c r="C198" s="65" t="s">
        <v>2492</v>
      </c>
      <c r="D198" s="65" t="s">
        <v>2492</v>
      </c>
      <c r="E198" s="66" t="s">
        <v>2492</v>
      </c>
      <c r="F198" s="22"/>
      <c r="G198" s="22"/>
      <c r="H198" s="22"/>
      <c r="I198" s="22"/>
      <c r="J198" s="22"/>
      <c r="K198" s="95"/>
      <c r="L198" s="50"/>
      <c r="M198" s="22"/>
      <c r="N198" s="22" t="s">
        <v>2195</v>
      </c>
      <c r="O198" s="46" t="str">
        <f>VLOOKUP(N198,Datos!$BJ$5:$BL$334,2,FALSE)</f>
        <v>ESPECIE</v>
      </c>
      <c r="P198" s="46" t="str">
        <f>VLOOKUP(N198,Datos!$BJ$5:$BL$334,3,FALSE)</f>
        <v>SUBESPECIE</v>
      </c>
      <c r="Q198" s="22"/>
      <c r="R198" s="65"/>
      <c r="S198" s="65"/>
      <c r="T198" s="65"/>
      <c r="U198" s="45"/>
    </row>
    <row r="199" spans="1:21" hidden="1">
      <c r="A199" s="58">
        <v>318</v>
      </c>
      <c r="B199" s="61"/>
      <c r="C199" s="65" t="s">
        <v>2492</v>
      </c>
      <c r="D199" s="65" t="s">
        <v>2492</v>
      </c>
      <c r="E199" s="66" t="s">
        <v>2492</v>
      </c>
      <c r="F199" s="22"/>
      <c r="G199" s="22"/>
      <c r="H199" s="22"/>
      <c r="I199" s="22"/>
      <c r="J199" s="22"/>
      <c r="K199" s="95"/>
      <c r="L199" s="50"/>
      <c r="M199" s="22"/>
      <c r="N199" s="22" t="s">
        <v>2195</v>
      </c>
      <c r="O199" s="46" t="str">
        <f>VLOOKUP(N199,Datos!$BJ$5:$BL$334,2,FALSE)</f>
        <v>ESPECIE</v>
      </c>
      <c r="P199" s="46" t="str">
        <f>VLOOKUP(N199,Datos!$BJ$5:$BL$334,3,FALSE)</f>
        <v>SUBESPECIE</v>
      </c>
      <c r="Q199" s="22"/>
      <c r="R199" s="65"/>
      <c r="S199" s="65"/>
      <c r="T199" s="65"/>
      <c r="U199" s="45"/>
    </row>
    <row r="200" spans="1:21" hidden="1">
      <c r="A200" s="58">
        <v>319</v>
      </c>
      <c r="B200" s="61"/>
      <c r="C200" s="65" t="s">
        <v>2492</v>
      </c>
      <c r="D200" s="65" t="s">
        <v>2492</v>
      </c>
      <c r="E200" s="66" t="s">
        <v>2492</v>
      </c>
      <c r="F200" s="22"/>
      <c r="G200" s="22"/>
      <c r="H200" s="22"/>
      <c r="I200" s="22"/>
      <c r="J200" s="22"/>
      <c r="K200" s="95"/>
      <c r="L200" s="50"/>
      <c r="M200" s="22"/>
      <c r="N200" s="22" t="s">
        <v>2195</v>
      </c>
      <c r="O200" s="46" t="str">
        <f>VLOOKUP(N200,Datos!$BJ$5:$BL$334,2,FALSE)</f>
        <v>ESPECIE</v>
      </c>
      <c r="P200" s="46" t="str">
        <f>VLOOKUP(N200,Datos!$BJ$5:$BL$334,3,FALSE)</f>
        <v>SUBESPECIE</v>
      </c>
      <c r="Q200" s="22"/>
      <c r="R200" s="65"/>
      <c r="S200" s="65"/>
      <c r="T200" s="65"/>
      <c r="U200" s="45"/>
    </row>
    <row r="201" spans="1:21" hidden="1">
      <c r="A201" s="58">
        <v>320</v>
      </c>
      <c r="B201" s="61"/>
      <c r="C201" s="65" t="s">
        <v>2492</v>
      </c>
      <c r="D201" s="65" t="s">
        <v>2492</v>
      </c>
      <c r="E201" s="66" t="s">
        <v>2492</v>
      </c>
      <c r="F201" s="22"/>
      <c r="G201" s="22"/>
      <c r="H201" s="22"/>
      <c r="I201" s="22"/>
      <c r="J201" s="22"/>
      <c r="K201" s="95"/>
      <c r="L201" s="50"/>
      <c r="M201" s="22"/>
      <c r="N201" s="22" t="s">
        <v>2195</v>
      </c>
      <c r="O201" s="46" t="str">
        <f>VLOOKUP(N201,Datos!$BJ$5:$BL$334,2,FALSE)</f>
        <v>ESPECIE</v>
      </c>
      <c r="P201" s="46" t="str">
        <f>VLOOKUP(N201,Datos!$BJ$5:$BL$334,3,FALSE)</f>
        <v>SUBESPECIE</v>
      </c>
      <c r="Q201" s="22"/>
      <c r="R201" s="65"/>
      <c r="S201" s="65"/>
      <c r="T201" s="65"/>
      <c r="U201" s="45"/>
    </row>
    <row r="202" spans="1:21" hidden="1">
      <c r="A202" s="58">
        <v>321</v>
      </c>
      <c r="B202" s="61"/>
      <c r="C202" s="65" t="s">
        <v>2492</v>
      </c>
      <c r="D202" s="65" t="s">
        <v>2492</v>
      </c>
      <c r="E202" s="66" t="s">
        <v>2492</v>
      </c>
      <c r="F202" s="22"/>
      <c r="G202" s="22"/>
      <c r="H202" s="22"/>
      <c r="I202" s="22"/>
      <c r="J202" s="22"/>
      <c r="K202" s="95"/>
      <c r="L202" s="50"/>
      <c r="M202" s="22"/>
      <c r="N202" s="22" t="s">
        <v>2195</v>
      </c>
      <c r="O202" s="46" t="str">
        <f>VLOOKUP(N202,Datos!$BJ$5:$BL$334,2,FALSE)</f>
        <v>ESPECIE</v>
      </c>
      <c r="P202" s="46" t="str">
        <f>VLOOKUP(N202,Datos!$BJ$5:$BL$334,3,FALSE)</f>
        <v>SUBESPECIE</v>
      </c>
      <c r="Q202" s="22"/>
      <c r="R202" s="65"/>
      <c r="S202" s="65"/>
      <c r="T202" s="65"/>
      <c r="U202" s="45"/>
    </row>
    <row r="203" spans="1:21" hidden="1">
      <c r="A203" s="58">
        <v>322</v>
      </c>
      <c r="B203" s="61"/>
      <c r="C203" s="65" t="s">
        <v>2492</v>
      </c>
      <c r="D203" s="65" t="s">
        <v>2492</v>
      </c>
      <c r="E203" s="66" t="s">
        <v>2492</v>
      </c>
      <c r="F203" s="22"/>
      <c r="G203" s="22"/>
      <c r="H203" s="22"/>
      <c r="I203" s="22"/>
      <c r="J203" s="22"/>
      <c r="K203" s="95"/>
      <c r="L203" s="50"/>
      <c r="M203" s="22"/>
      <c r="N203" s="22" t="s">
        <v>2195</v>
      </c>
      <c r="O203" s="46" t="str">
        <f>VLOOKUP(N203,Datos!$BJ$5:$BL$334,2,FALSE)</f>
        <v>ESPECIE</v>
      </c>
      <c r="P203" s="46" t="str">
        <f>VLOOKUP(N203,Datos!$BJ$5:$BL$334,3,FALSE)</f>
        <v>SUBESPECIE</v>
      </c>
      <c r="Q203" s="22"/>
      <c r="R203" s="65"/>
      <c r="S203" s="65"/>
      <c r="T203" s="65"/>
      <c r="U203" s="45"/>
    </row>
    <row r="204" spans="1:21" hidden="1">
      <c r="A204" s="58">
        <v>323</v>
      </c>
      <c r="B204" s="61"/>
      <c r="C204" s="65" t="s">
        <v>2492</v>
      </c>
      <c r="D204" s="65" t="s">
        <v>2492</v>
      </c>
      <c r="E204" s="66" t="s">
        <v>2492</v>
      </c>
      <c r="F204" s="22"/>
      <c r="G204" s="22"/>
      <c r="H204" s="22"/>
      <c r="I204" s="22"/>
      <c r="J204" s="22"/>
      <c r="K204" s="95"/>
      <c r="L204" s="50"/>
      <c r="M204" s="22"/>
      <c r="N204" s="22" t="s">
        <v>2195</v>
      </c>
      <c r="O204" s="46" t="str">
        <f>VLOOKUP(N204,Datos!$BJ$5:$BL$334,2,FALSE)</f>
        <v>ESPECIE</v>
      </c>
      <c r="P204" s="46" t="str">
        <f>VLOOKUP(N204,Datos!$BJ$5:$BL$334,3,FALSE)</f>
        <v>SUBESPECIE</v>
      </c>
      <c r="Q204" s="22"/>
      <c r="R204" s="65"/>
      <c r="S204" s="65"/>
      <c r="T204" s="65"/>
      <c r="U204" s="45"/>
    </row>
    <row r="205" spans="1:21" hidden="1">
      <c r="A205" s="58">
        <v>324</v>
      </c>
      <c r="B205" s="61"/>
      <c r="C205" s="65" t="s">
        <v>2492</v>
      </c>
      <c r="D205" s="65" t="s">
        <v>2492</v>
      </c>
      <c r="E205" s="66" t="s">
        <v>2492</v>
      </c>
      <c r="F205" s="22"/>
      <c r="G205" s="22"/>
      <c r="H205" s="22"/>
      <c r="I205" s="22"/>
      <c r="J205" s="22"/>
      <c r="K205" s="95"/>
      <c r="L205" s="50"/>
      <c r="M205" s="22"/>
      <c r="N205" s="22" t="s">
        <v>2195</v>
      </c>
      <c r="O205" s="46" t="str">
        <f>VLOOKUP(N205,Datos!$BJ$5:$BL$334,2,FALSE)</f>
        <v>ESPECIE</v>
      </c>
      <c r="P205" s="46" t="str">
        <f>VLOOKUP(N205,Datos!$BJ$5:$BL$334,3,FALSE)</f>
        <v>SUBESPECIE</v>
      </c>
      <c r="Q205" s="22"/>
      <c r="R205" s="65"/>
      <c r="S205" s="65"/>
      <c r="T205" s="65"/>
      <c r="U205" s="45"/>
    </row>
    <row r="206" spans="1:21" hidden="1">
      <c r="A206" s="58">
        <v>325</v>
      </c>
      <c r="B206" s="61"/>
      <c r="C206" s="65" t="s">
        <v>2492</v>
      </c>
      <c r="D206" s="65" t="s">
        <v>2492</v>
      </c>
      <c r="E206" s="66" t="s">
        <v>2492</v>
      </c>
      <c r="F206" s="22"/>
      <c r="G206" s="22"/>
      <c r="H206" s="22"/>
      <c r="I206" s="22"/>
      <c r="J206" s="22"/>
      <c r="K206" s="95"/>
      <c r="L206" s="50"/>
      <c r="M206" s="22"/>
      <c r="N206" s="22" t="s">
        <v>2195</v>
      </c>
      <c r="O206" s="46" t="str">
        <f>VLOOKUP(N206,Datos!$BJ$5:$BL$334,2,FALSE)</f>
        <v>ESPECIE</v>
      </c>
      <c r="P206" s="46" t="str">
        <f>VLOOKUP(N206,Datos!$BJ$5:$BL$334,3,FALSE)</f>
        <v>SUBESPECIE</v>
      </c>
      <c r="Q206" s="22"/>
      <c r="R206" s="65"/>
      <c r="S206" s="65"/>
      <c r="T206" s="65"/>
      <c r="U206" s="45"/>
    </row>
    <row r="207" spans="1:21" hidden="1">
      <c r="A207" s="58">
        <v>326</v>
      </c>
      <c r="B207" s="61"/>
      <c r="C207" s="65" t="s">
        <v>2492</v>
      </c>
      <c r="D207" s="65" t="s">
        <v>2492</v>
      </c>
      <c r="E207" s="66" t="s">
        <v>2492</v>
      </c>
      <c r="F207" s="22"/>
      <c r="G207" s="22"/>
      <c r="H207" s="22"/>
      <c r="I207" s="22"/>
      <c r="J207" s="22"/>
      <c r="K207" s="95"/>
      <c r="L207" s="50"/>
      <c r="M207" s="22"/>
      <c r="N207" s="22" t="s">
        <v>2195</v>
      </c>
      <c r="O207" s="46" t="str">
        <f>VLOOKUP(N207,Datos!$BJ$5:$BL$334,2,FALSE)</f>
        <v>ESPECIE</v>
      </c>
      <c r="P207" s="46" t="str">
        <f>VLOOKUP(N207,Datos!$BJ$5:$BL$334,3,FALSE)</f>
        <v>SUBESPECIE</v>
      </c>
      <c r="Q207" s="22"/>
      <c r="R207" s="65"/>
      <c r="S207" s="65"/>
      <c r="T207" s="65"/>
      <c r="U207" s="45"/>
    </row>
    <row r="208" spans="1:21" hidden="1">
      <c r="A208" s="58">
        <v>327</v>
      </c>
      <c r="B208" s="61"/>
      <c r="C208" s="65" t="s">
        <v>2492</v>
      </c>
      <c r="D208" s="65" t="s">
        <v>2492</v>
      </c>
      <c r="E208" s="66" t="s">
        <v>2492</v>
      </c>
      <c r="F208" s="22"/>
      <c r="G208" s="22"/>
      <c r="H208" s="22"/>
      <c r="I208" s="22"/>
      <c r="J208" s="22"/>
      <c r="K208" s="95"/>
      <c r="L208" s="50"/>
      <c r="M208" s="22"/>
      <c r="N208" s="22" t="s">
        <v>2195</v>
      </c>
      <c r="O208" s="46" t="str">
        <f>VLOOKUP(N208,Datos!$BJ$5:$BL$334,2,FALSE)</f>
        <v>ESPECIE</v>
      </c>
      <c r="P208" s="46" t="str">
        <f>VLOOKUP(N208,Datos!$BJ$5:$BL$334,3,FALSE)</f>
        <v>SUBESPECIE</v>
      </c>
      <c r="Q208" s="22"/>
      <c r="R208" s="65"/>
      <c r="S208" s="65"/>
      <c r="T208" s="65"/>
      <c r="U208" s="45"/>
    </row>
    <row r="209" spans="1:21" hidden="1">
      <c r="A209" s="58">
        <v>328</v>
      </c>
      <c r="B209" s="61"/>
      <c r="C209" s="65" t="s">
        <v>2492</v>
      </c>
      <c r="D209" s="65" t="s">
        <v>2492</v>
      </c>
      <c r="E209" s="66" t="s">
        <v>2492</v>
      </c>
      <c r="F209" s="22"/>
      <c r="G209" s="22"/>
      <c r="H209" s="22"/>
      <c r="I209" s="22"/>
      <c r="J209" s="22"/>
      <c r="K209" s="95"/>
      <c r="L209" s="50"/>
      <c r="M209" s="22"/>
      <c r="N209" s="22" t="s">
        <v>2195</v>
      </c>
      <c r="O209" s="46" t="str">
        <f>VLOOKUP(N209,Datos!$BJ$5:$BL$334,2,FALSE)</f>
        <v>ESPECIE</v>
      </c>
      <c r="P209" s="46" t="str">
        <f>VLOOKUP(N209,Datos!$BJ$5:$BL$334,3,FALSE)</f>
        <v>SUBESPECIE</v>
      </c>
      <c r="Q209" s="22"/>
      <c r="R209" s="65"/>
      <c r="S209" s="65"/>
      <c r="T209" s="65"/>
      <c r="U209" s="45"/>
    </row>
    <row r="210" spans="1:21" hidden="1">
      <c r="A210" s="58">
        <v>329</v>
      </c>
      <c r="B210" s="61"/>
      <c r="C210" s="65" t="s">
        <v>2492</v>
      </c>
      <c r="D210" s="65" t="s">
        <v>2492</v>
      </c>
      <c r="E210" s="66" t="s">
        <v>2492</v>
      </c>
      <c r="F210" s="22"/>
      <c r="G210" s="22"/>
      <c r="H210" s="22"/>
      <c r="I210" s="22"/>
      <c r="J210" s="22"/>
      <c r="K210" s="95"/>
      <c r="L210" s="50"/>
      <c r="M210" s="22"/>
      <c r="N210" s="22" t="s">
        <v>2195</v>
      </c>
      <c r="O210" s="46" t="str">
        <f>VLOOKUP(N210,Datos!$BJ$5:$BL$334,2,FALSE)</f>
        <v>ESPECIE</v>
      </c>
      <c r="P210" s="46" t="str">
        <f>VLOOKUP(N210,Datos!$BJ$5:$BL$334,3,FALSE)</f>
        <v>SUBESPECIE</v>
      </c>
      <c r="Q210" s="22"/>
      <c r="R210" s="65"/>
      <c r="S210" s="65"/>
      <c r="T210" s="65"/>
      <c r="U210" s="45"/>
    </row>
    <row r="211" spans="1:21" hidden="1">
      <c r="A211" s="58">
        <v>330</v>
      </c>
      <c r="B211" s="61"/>
      <c r="C211" s="65" t="s">
        <v>2492</v>
      </c>
      <c r="D211" s="65" t="s">
        <v>2492</v>
      </c>
      <c r="E211" s="66" t="s">
        <v>2492</v>
      </c>
      <c r="F211" s="22"/>
      <c r="G211" s="22"/>
      <c r="H211" s="22"/>
      <c r="I211" s="22"/>
      <c r="J211" s="22"/>
      <c r="K211" s="95"/>
      <c r="L211" s="50"/>
      <c r="M211" s="22"/>
      <c r="N211" s="22" t="s">
        <v>2195</v>
      </c>
      <c r="O211" s="46" t="str">
        <f>VLOOKUP(N211,Datos!$BJ$5:$BL$334,2,FALSE)</f>
        <v>ESPECIE</v>
      </c>
      <c r="P211" s="46" t="str">
        <f>VLOOKUP(N211,Datos!$BJ$5:$BL$334,3,FALSE)</f>
        <v>SUBESPECIE</v>
      </c>
      <c r="Q211" s="22"/>
      <c r="R211" s="65"/>
      <c r="S211" s="65"/>
      <c r="T211" s="65"/>
      <c r="U211" s="45"/>
    </row>
    <row r="212" spans="1:21" hidden="1">
      <c r="A212" s="58">
        <v>331</v>
      </c>
      <c r="B212" s="61"/>
      <c r="C212" s="65" t="s">
        <v>2492</v>
      </c>
      <c r="D212" s="65" t="s">
        <v>2492</v>
      </c>
      <c r="E212" s="66" t="s">
        <v>2492</v>
      </c>
      <c r="F212" s="22"/>
      <c r="G212" s="22"/>
      <c r="H212" s="22"/>
      <c r="I212" s="22"/>
      <c r="J212" s="22"/>
      <c r="K212" s="95"/>
      <c r="L212" s="50"/>
      <c r="M212" s="22"/>
      <c r="N212" s="22" t="s">
        <v>2195</v>
      </c>
      <c r="O212" s="46" t="str">
        <f>VLOOKUP(N212,Datos!$BJ$5:$BL$334,2,FALSE)</f>
        <v>ESPECIE</v>
      </c>
      <c r="P212" s="46" t="str">
        <f>VLOOKUP(N212,Datos!$BJ$5:$BL$334,3,FALSE)</f>
        <v>SUBESPECIE</v>
      </c>
      <c r="Q212" s="22"/>
      <c r="R212" s="65"/>
      <c r="S212" s="65"/>
      <c r="T212" s="65"/>
      <c r="U212" s="45"/>
    </row>
    <row r="213" spans="1:21" hidden="1">
      <c r="A213" s="58">
        <v>332</v>
      </c>
      <c r="B213" s="61"/>
      <c r="C213" s="65" t="s">
        <v>2492</v>
      </c>
      <c r="D213" s="65" t="s">
        <v>2492</v>
      </c>
      <c r="E213" s="66" t="s">
        <v>2492</v>
      </c>
      <c r="F213" s="22"/>
      <c r="G213" s="22"/>
      <c r="H213" s="22"/>
      <c r="I213" s="22"/>
      <c r="J213" s="22"/>
      <c r="K213" s="95"/>
      <c r="L213" s="50"/>
      <c r="M213" s="22"/>
      <c r="N213" s="22" t="s">
        <v>2195</v>
      </c>
      <c r="O213" s="46" t="str">
        <f>VLOOKUP(N213,Datos!$BJ$5:$BL$334,2,FALSE)</f>
        <v>ESPECIE</v>
      </c>
      <c r="P213" s="46" t="str">
        <f>VLOOKUP(N213,Datos!$BJ$5:$BL$334,3,FALSE)</f>
        <v>SUBESPECIE</v>
      </c>
      <c r="Q213" s="22"/>
      <c r="R213" s="65"/>
      <c r="S213" s="65"/>
      <c r="T213" s="65"/>
      <c r="U213" s="45"/>
    </row>
    <row r="214" spans="1:21" hidden="1">
      <c r="A214" s="58">
        <v>333</v>
      </c>
      <c r="B214" s="61"/>
      <c r="C214" s="65" t="s">
        <v>2492</v>
      </c>
      <c r="D214" s="65" t="s">
        <v>2492</v>
      </c>
      <c r="E214" s="66" t="s">
        <v>2492</v>
      </c>
      <c r="F214" s="22"/>
      <c r="G214" s="22"/>
      <c r="H214" s="22"/>
      <c r="I214" s="22"/>
      <c r="J214" s="22"/>
      <c r="K214" s="95"/>
      <c r="L214" s="50"/>
      <c r="M214" s="22"/>
      <c r="N214" s="22" t="s">
        <v>2195</v>
      </c>
      <c r="O214" s="46" t="str">
        <f>VLOOKUP(N214,Datos!$BJ$5:$BL$334,2,FALSE)</f>
        <v>ESPECIE</v>
      </c>
      <c r="P214" s="46" t="str">
        <f>VLOOKUP(N214,Datos!$BJ$5:$BL$334,3,FALSE)</f>
        <v>SUBESPECIE</v>
      </c>
      <c r="Q214" s="22"/>
      <c r="R214" s="65"/>
      <c r="S214" s="65"/>
      <c r="T214" s="65"/>
      <c r="U214" s="45"/>
    </row>
    <row r="215" spans="1:21" hidden="1">
      <c r="A215" s="58">
        <v>334</v>
      </c>
      <c r="B215" s="61"/>
      <c r="C215" s="65" t="s">
        <v>2492</v>
      </c>
      <c r="D215" s="65" t="s">
        <v>2492</v>
      </c>
      <c r="E215" s="66" t="s">
        <v>2492</v>
      </c>
      <c r="F215" s="22"/>
      <c r="G215" s="22"/>
      <c r="H215" s="22"/>
      <c r="I215" s="22"/>
      <c r="J215" s="22"/>
      <c r="K215" s="95"/>
      <c r="L215" s="50"/>
      <c r="M215" s="22"/>
      <c r="N215" s="22" t="s">
        <v>2195</v>
      </c>
      <c r="O215" s="46" t="str">
        <f>VLOOKUP(N215,Datos!$BJ$5:$BL$334,2,FALSE)</f>
        <v>ESPECIE</v>
      </c>
      <c r="P215" s="46" t="str">
        <f>VLOOKUP(N215,Datos!$BJ$5:$BL$334,3,FALSE)</f>
        <v>SUBESPECIE</v>
      </c>
      <c r="Q215" s="22"/>
      <c r="R215" s="65"/>
      <c r="S215" s="65"/>
      <c r="T215" s="65"/>
      <c r="U215" s="45"/>
    </row>
    <row r="216" spans="1:21" hidden="1">
      <c r="A216" s="58">
        <v>335</v>
      </c>
      <c r="B216" s="61"/>
      <c r="C216" s="65" t="s">
        <v>2492</v>
      </c>
      <c r="D216" s="65" t="s">
        <v>2492</v>
      </c>
      <c r="E216" s="66" t="s">
        <v>2492</v>
      </c>
      <c r="F216" s="22"/>
      <c r="G216" s="22"/>
      <c r="H216" s="22"/>
      <c r="I216" s="22"/>
      <c r="J216" s="22"/>
      <c r="K216" s="95"/>
      <c r="L216" s="50"/>
      <c r="M216" s="22"/>
      <c r="N216" s="22" t="s">
        <v>2195</v>
      </c>
      <c r="O216" s="46" t="str">
        <f>VLOOKUP(N216,Datos!$BJ$5:$BL$334,2,FALSE)</f>
        <v>ESPECIE</v>
      </c>
      <c r="P216" s="46" t="str">
        <f>VLOOKUP(N216,Datos!$BJ$5:$BL$334,3,FALSE)</f>
        <v>SUBESPECIE</v>
      </c>
      <c r="Q216" s="22"/>
      <c r="R216" s="65"/>
      <c r="S216" s="65"/>
      <c r="T216" s="65"/>
      <c r="U216" s="45"/>
    </row>
    <row r="217" spans="1:21" hidden="1">
      <c r="A217" s="58">
        <v>336</v>
      </c>
      <c r="B217" s="61"/>
      <c r="C217" s="65" t="s">
        <v>2492</v>
      </c>
      <c r="D217" s="65" t="s">
        <v>2492</v>
      </c>
      <c r="E217" s="66" t="s">
        <v>2492</v>
      </c>
      <c r="F217" s="22"/>
      <c r="G217" s="22"/>
      <c r="H217" s="22"/>
      <c r="I217" s="22"/>
      <c r="J217" s="22"/>
      <c r="K217" s="95"/>
      <c r="L217" s="50"/>
      <c r="M217" s="22"/>
      <c r="N217" s="22" t="s">
        <v>2195</v>
      </c>
      <c r="O217" s="46" t="str">
        <f>VLOOKUP(N217,Datos!$BJ$5:$BL$334,2,FALSE)</f>
        <v>ESPECIE</v>
      </c>
      <c r="P217" s="46" t="str">
        <f>VLOOKUP(N217,Datos!$BJ$5:$BL$334,3,FALSE)</f>
        <v>SUBESPECIE</v>
      </c>
      <c r="Q217" s="22"/>
      <c r="R217" s="65"/>
      <c r="S217" s="65"/>
      <c r="T217" s="65"/>
      <c r="U217" s="45"/>
    </row>
    <row r="218" spans="1:21" hidden="1">
      <c r="A218" s="58">
        <v>337</v>
      </c>
      <c r="B218" s="61"/>
      <c r="C218" s="65" t="s">
        <v>2492</v>
      </c>
      <c r="D218" s="65" t="s">
        <v>2492</v>
      </c>
      <c r="E218" s="66" t="s">
        <v>2492</v>
      </c>
      <c r="F218" s="22"/>
      <c r="G218" s="22"/>
      <c r="H218" s="22"/>
      <c r="I218" s="22"/>
      <c r="J218" s="22"/>
      <c r="K218" s="95"/>
      <c r="L218" s="50"/>
      <c r="M218" s="22"/>
      <c r="N218" s="22" t="s">
        <v>2195</v>
      </c>
      <c r="O218" s="46" t="str">
        <f>VLOOKUP(N218,Datos!$BJ$5:$BL$334,2,FALSE)</f>
        <v>ESPECIE</v>
      </c>
      <c r="P218" s="46" t="str">
        <f>VLOOKUP(N218,Datos!$BJ$5:$BL$334,3,FALSE)</f>
        <v>SUBESPECIE</v>
      </c>
      <c r="Q218" s="22"/>
      <c r="R218" s="65"/>
      <c r="S218" s="65"/>
      <c r="T218" s="65"/>
      <c r="U218" s="45"/>
    </row>
    <row r="219" spans="1:21" hidden="1">
      <c r="A219" s="58">
        <v>338</v>
      </c>
      <c r="B219" s="61"/>
      <c r="C219" s="65" t="s">
        <v>2492</v>
      </c>
      <c r="D219" s="65" t="s">
        <v>2492</v>
      </c>
      <c r="E219" s="66" t="s">
        <v>2492</v>
      </c>
      <c r="F219" s="22"/>
      <c r="G219" s="22"/>
      <c r="H219" s="22"/>
      <c r="I219" s="22"/>
      <c r="J219" s="22"/>
      <c r="K219" s="95"/>
      <c r="L219" s="50"/>
      <c r="M219" s="22"/>
      <c r="N219" s="22" t="s">
        <v>2195</v>
      </c>
      <c r="O219" s="46" t="str">
        <f>VLOOKUP(N219,Datos!$BJ$5:$BL$334,2,FALSE)</f>
        <v>ESPECIE</v>
      </c>
      <c r="P219" s="46" t="str">
        <f>VLOOKUP(N219,Datos!$BJ$5:$BL$334,3,FALSE)</f>
        <v>SUBESPECIE</v>
      </c>
      <c r="Q219" s="22"/>
      <c r="R219" s="65"/>
      <c r="S219" s="65"/>
      <c r="T219" s="65"/>
      <c r="U219" s="45"/>
    </row>
    <row r="220" spans="1:21" hidden="1">
      <c r="A220" s="58">
        <v>339</v>
      </c>
      <c r="B220" s="61"/>
      <c r="C220" s="65" t="s">
        <v>2492</v>
      </c>
      <c r="D220" s="65" t="s">
        <v>2492</v>
      </c>
      <c r="E220" s="66" t="s">
        <v>2492</v>
      </c>
      <c r="F220" s="22"/>
      <c r="G220" s="22"/>
      <c r="H220" s="22"/>
      <c r="I220" s="22"/>
      <c r="J220" s="22"/>
      <c r="K220" s="95"/>
      <c r="L220" s="50"/>
      <c r="M220" s="22"/>
      <c r="N220" s="22" t="s">
        <v>2195</v>
      </c>
      <c r="O220" s="46" t="str">
        <f>VLOOKUP(N220,Datos!$BJ$5:$BL$334,2,FALSE)</f>
        <v>ESPECIE</v>
      </c>
      <c r="P220" s="46" t="str">
        <f>VLOOKUP(N220,Datos!$BJ$5:$BL$334,3,FALSE)</f>
        <v>SUBESPECIE</v>
      </c>
      <c r="Q220" s="22"/>
      <c r="R220" s="65"/>
      <c r="S220" s="65"/>
      <c r="T220" s="65"/>
      <c r="U220" s="45"/>
    </row>
    <row r="221" spans="1:21" hidden="1">
      <c r="A221" s="58">
        <v>340</v>
      </c>
      <c r="B221" s="61"/>
      <c r="C221" s="65" t="s">
        <v>2492</v>
      </c>
      <c r="D221" s="65" t="s">
        <v>2492</v>
      </c>
      <c r="E221" s="66" t="s">
        <v>2492</v>
      </c>
      <c r="F221" s="22"/>
      <c r="G221" s="22"/>
      <c r="H221" s="22"/>
      <c r="I221" s="22"/>
      <c r="J221" s="22"/>
      <c r="K221" s="95"/>
      <c r="L221" s="50"/>
      <c r="M221" s="22"/>
      <c r="N221" s="22" t="s">
        <v>2195</v>
      </c>
      <c r="O221" s="46" t="str">
        <f>VLOOKUP(N221,Datos!$BJ$5:$BL$334,2,FALSE)</f>
        <v>ESPECIE</v>
      </c>
      <c r="P221" s="46" t="str">
        <f>VLOOKUP(N221,Datos!$BJ$5:$BL$334,3,FALSE)</f>
        <v>SUBESPECIE</v>
      </c>
      <c r="Q221" s="22"/>
      <c r="R221" s="65"/>
      <c r="S221" s="65"/>
      <c r="T221" s="65"/>
      <c r="U221" s="45"/>
    </row>
    <row r="222" spans="1:21" hidden="1">
      <c r="A222" s="58">
        <v>341</v>
      </c>
      <c r="B222" s="61"/>
      <c r="C222" s="65" t="s">
        <v>2492</v>
      </c>
      <c r="D222" s="65" t="s">
        <v>2492</v>
      </c>
      <c r="E222" s="66" t="s">
        <v>2492</v>
      </c>
      <c r="F222" s="22"/>
      <c r="G222" s="22"/>
      <c r="H222" s="22"/>
      <c r="I222" s="22"/>
      <c r="J222" s="22"/>
      <c r="K222" s="95"/>
      <c r="L222" s="50"/>
      <c r="M222" s="22"/>
      <c r="N222" s="22" t="s">
        <v>2195</v>
      </c>
      <c r="O222" s="46" t="str">
        <f>VLOOKUP(N222,Datos!$BJ$5:$BL$334,2,FALSE)</f>
        <v>ESPECIE</v>
      </c>
      <c r="P222" s="46" t="str">
        <f>VLOOKUP(N222,Datos!$BJ$5:$BL$334,3,FALSE)</f>
        <v>SUBESPECIE</v>
      </c>
      <c r="Q222" s="22"/>
      <c r="R222" s="65"/>
      <c r="S222" s="65"/>
      <c r="T222" s="65"/>
      <c r="U222" s="45"/>
    </row>
    <row r="223" spans="1:21" hidden="1">
      <c r="A223" s="58">
        <v>342</v>
      </c>
      <c r="B223" s="61"/>
      <c r="C223" s="65" t="s">
        <v>2492</v>
      </c>
      <c r="D223" s="65" t="s">
        <v>2492</v>
      </c>
      <c r="E223" s="66" t="s">
        <v>2492</v>
      </c>
      <c r="F223" s="22"/>
      <c r="G223" s="22"/>
      <c r="H223" s="22"/>
      <c r="I223" s="22"/>
      <c r="J223" s="22"/>
      <c r="K223" s="95"/>
      <c r="L223" s="50"/>
      <c r="M223" s="22"/>
      <c r="N223" s="22" t="s">
        <v>2195</v>
      </c>
      <c r="O223" s="46" t="str">
        <f>VLOOKUP(N223,Datos!$BJ$5:$BL$334,2,FALSE)</f>
        <v>ESPECIE</v>
      </c>
      <c r="P223" s="46" t="str">
        <f>VLOOKUP(N223,Datos!$BJ$5:$BL$334,3,FALSE)</f>
        <v>SUBESPECIE</v>
      </c>
      <c r="Q223" s="22"/>
      <c r="R223" s="65"/>
      <c r="S223" s="65"/>
      <c r="T223" s="65"/>
      <c r="U223" s="45"/>
    </row>
    <row r="224" spans="1:21" hidden="1">
      <c r="A224" s="58">
        <v>343</v>
      </c>
      <c r="B224" s="61"/>
      <c r="C224" s="65" t="s">
        <v>2492</v>
      </c>
      <c r="D224" s="65" t="s">
        <v>2492</v>
      </c>
      <c r="E224" s="66" t="s">
        <v>2492</v>
      </c>
      <c r="F224" s="22"/>
      <c r="G224" s="22"/>
      <c r="H224" s="22"/>
      <c r="I224" s="22"/>
      <c r="J224" s="22"/>
      <c r="K224" s="95"/>
      <c r="L224" s="50"/>
      <c r="M224" s="22"/>
      <c r="N224" s="22" t="s">
        <v>2195</v>
      </c>
      <c r="O224" s="46" t="str">
        <f>VLOOKUP(N224,Datos!$BJ$5:$BL$334,2,FALSE)</f>
        <v>ESPECIE</v>
      </c>
      <c r="P224" s="46" t="str">
        <f>VLOOKUP(N224,Datos!$BJ$5:$BL$334,3,FALSE)</f>
        <v>SUBESPECIE</v>
      </c>
      <c r="Q224" s="22"/>
      <c r="R224" s="65"/>
      <c r="S224" s="65"/>
      <c r="T224" s="65"/>
      <c r="U224" s="45"/>
    </row>
    <row r="225" spans="1:21" hidden="1">
      <c r="A225" s="58">
        <v>344</v>
      </c>
      <c r="B225" s="61"/>
      <c r="C225" s="65" t="s">
        <v>2492</v>
      </c>
      <c r="D225" s="65" t="s">
        <v>2492</v>
      </c>
      <c r="E225" s="66" t="s">
        <v>2492</v>
      </c>
      <c r="F225" s="22"/>
      <c r="G225" s="22"/>
      <c r="H225" s="22"/>
      <c r="I225" s="22"/>
      <c r="J225" s="22"/>
      <c r="K225" s="95"/>
      <c r="L225" s="50"/>
      <c r="M225" s="22"/>
      <c r="N225" s="22" t="s">
        <v>2195</v>
      </c>
      <c r="O225" s="46" t="str">
        <f>VLOOKUP(N225,Datos!$BJ$5:$BL$334,2,FALSE)</f>
        <v>ESPECIE</v>
      </c>
      <c r="P225" s="46" t="str">
        <f>VLOOKUP(N225,Datos!$BJ$5:$BL$334,3,FALSE)</f>
        <v>SUBESPECIE</v>
      </c>
      <c r="Q225" s="22"/>
      <c r="R225" s="65"/>
      <c r="S225" s="65"/>
      <c r="T225" s="65"/>
      <c r="U225" s="45"/>
    </row>
    <row r="226" spans="1:21" hidden="1">
      <c r="A226" s="58">
        <v>345</v>
      </c>
      <c r="B226" s="61"/>
      <c r="C226" s="65" t="s">
        <v>2492</v>
      </c>
      <c r="D226" s="65" t="s">
        <v>2492</v>
      </c>
      <c r="E226" s="66" t="s">
        <v>2492</v>
      </c>
      <c r="F226" s="22"/>
      <c r="G226" s="22"/>
      <c r="H226" s="22"/>
      <c r="I226" s="22"/>
      <c r="J226" s="22"/>
      <c r="K226" s="95"/>
      <c r="L226" s="50"/>
      <c r="M226" s="22"/>
      <c r="N226" s="22" t="s">
        <v>2195</v>
      </c>
      <c r="O226" s="46" t="str">
        <f>VLOOKUP(N226,Datos!$BJ$5:$BL$334,2,FALSE)</f>
        <v>ESPECIE</v>
      </c>
      <c r="P226" s="46" t="str">
        <f>VLOOKUP(N226,Datos!$BJ$5:$BL$334,3,FALSE)</f>
        <v>SUBESPECIE</v>
      </c>
      <c r="Q226" s="22"/>
      <c r="R226" s="65"/>
      <c r="S226" s="65"/>
      <c r="T226" s="65"/>
      <c r="U226" s="45"/>
    </row>
    <row r="227" spans="1:21" hidden="1">
      <c r="A227" s="58">
        <v>346</v>
      </c>
      <c r="B227" s="61"/>
      <c r="C227" s="65" t="s">
        <v>2492</v>
      </c>
      <c r="D227" s="65" t="s">
        <v>2492</v>
      </c>
      <c r="E227" s="66" t="s">
        <v>2492</v>
      </c>
      <c r="F227" s="22"/>
      <c r="G227" s="22"/>
      <c r="H227" s="22"/>
      <c r="I227" s="22"/>
      <c r="J227" s="22"/>
      <c r="K227" s="95"/>
      <c r="L227" s="50"/>
      <c r="M227" s="22"/>
      <c r="N227" s="22" t="s">
        <v>2195</v>
      </c>
      <c r="O227" s="46" t="str">
        <f>VLOOKUP(N227,Datos!$BJ$5:$BL$334,2,FALSE)</f>
        <v>ESPECIE</v>
      </c>
      <c r="P227" s="46" t="str">
        <f>VLOOKUP(N227,Datos!$BJ$5:$BL$334,3,FALSE)</f>
        <v>SUBESPECIE</v>
      </c>
      <c r="Q227" s="22"/>
      <c r="R227" s="65"/>
      <c r="S227" s="65"/>
      <c r="T227" s="65"/>
      <c r="U227" s="45"/>
    </row>
    <row r="228" spans="1:21" hidden="1">
      <c r="A228" s="58">
        <v>347</v>
      </c>
      <c r="B228" s="61"/>
      <c r="C228" s="65" t="s">
        <v>2492</v>
      </c>
      <c r="D228" s="65" t="s">
        <v>2492</v>
      </c>
      <c r="E228" s="66" t="s">
        <v>2492</v>
      </c>
      <c r="F228" s="22"/>
      <c r="G228" s="22"/>
      <c r="H228" s="22"/>
      <c r="I228" s="22"/>
      <c r="J228" s="22"/>
      <c r="K228" s="95"/>
      <c r="L228" s="50"/>
      <c r="M228" s="22"/>
      <c r="N228" s="22" t="s">
        <v>2195</v>
      </c>
      <c r="O228" s="46" t="str">
        <f>VLOOKUP(N228,Datos!$BJ$5:$BL$334,2,FALSE)</f>
        <v>ESPECIE</v>
      </c>
      <c r="P228" s="46" t="str">
        <f>VLOOKUP(N228,Datos!$BJ$5:$BL$334,3,FALSE)</f>
        <v>SUBESPECIE</v>
      </c>
      <c r="Q228" s="22"/>
      <c r="R228" s="65"/>
      <c r="S228" s="65"/>
      <c r="T228" s="65"/>
      <c r="U228" s="45"/>
    </row>
    <row r="229" spans="1:21" hidden="1">
      <c r="A229" s="58">
        <v>348</v>
      </c>
      <c r="B229" s="61"/>
      <c r="C229" s="65" t="s">
        <v>2492</v>
      </c>
      <c r="D229" s="65" t="s">
        <v>2492</v>
      </c>
      <c r="E229" s="66" t="s">
        <v>2492</v>
      </c>
      <c r="F229" s="22"/>
      <c r="G229" s="22"/>
      <c r="H229" s="22"/>
      <c r="I229" s="22"/>
      <c r="J229" s="22"/>
      <c r="K229" s="95"/>
      <c r="L229" s="50"/>
      <c r="M229" s="22"/>
      <c r="N229" s="22" t="s">
        <v>2195</v>
      </c>
      <c r="O229" s="46" t="str">
        <f>VLOOKUP(N229,Datos!$BJ$5:$BL$334,2,FALSE)</f>
        <v>ESPECIE</v>
      </c>
      <c r="P229" s="46" t="str">
        <f>VLOOKUP(N229,Datos!$BJ$5:$BL$334,3,FALSE)</f>
        <v>SUBESPECIE</v>
      </c>
      <c r="Q229" s="22"/>
      <c r="R229" s="65"/>
      <c r="S229" s="65"/>
      <c r="T229" s="65"/>
      <c r="U229" s="45"/>
    </row>
    <row r="230" spans="1:21" hidden="1">
      <c r="A230" s="58">
        <v>349</v>
      </c>
      <c r="B230" s="61"/>
      <c r="C230" s="65" t="s">
        <v>2492</v>
      </c>
      <c r="D230" s="65" t="s">
        <v>2492</v>
      </c>
      <c r="E230" s="66" t="s">
        <v>2492</v>
      </c>
      <c r="F230" s="22"/>
      <c r="G230" s="22"/>
      <c r="H230" s="22"/>
      <c r="I230" s="22"/>
      <c r="J230" s="22"/>
      <c r="K230" s="95"/>
      <c r="L230" s="50"/>
      <c r="M230" s="22"/>
      <c r="N230" s="22" t="s">
        <v>2195</v>
      </c>
      <c r="O230" s="46" t="str">
        <f>VLOOKUP(N230,Datos!$BJ$5:$BL$334,2,FALSE)</f>
        <v>ESPECIE</v>
      </c>
      <c r="P230" s="46" t="str">
        <f>VLOOKUP(N230,Datos!$BJ$5:$BL$334,3,FALSE)</f>
        <v>SUBESPECIE</v>
      </c>
      <c r="Q230" s="22"/>
      <c r="R230" s="65"/>
      <c r="S230" s="65"/>
      <c r="T230" s="65"/>
      <c r="U230" s="45"/>
    </row>
    <row r="231" spans="1:21" hidden="1">
      <c r="A231" s="58">
        <v>350</v>
      </c>
      <c r="B231" s="61"/>
      <c r="C231" s="65" t="s">
        <v>2492</v>
      </c>
      <c r="D231" s="65" t="s">
        <v>2492</v>
      </c>
      <c r="E231" s="66" t="s">
        <v>2492</v>
      </c>
      <c r="F231" s="22"/>
      <c r="G231" s="22"/>
      <c r="H231" s="22"/>
      <c r="I231" s="22"/>
      <c r="J231" s="22"/>
      <c r="K231" s="95"/>
      <c r="L231" s="50"/>
      <c r="M231" s="22"/>
      <c r="N231" s="22" t="s">
        <v>2195</v>
      </c>
      <c r="O231" s="46" t="str">
        <f>VLOOKUP(N231,Datos!$BJ$5:$BL$334,2,FALSE)</f>
        <v>ESPECIE</v>
      </c>
      <c r="P231" s="46" t="str">
        <f>VLOOKUP(N231,Datos!$BJ$5:$BL$334,3,FALSE)</f>
        <v>SUBESPECIE</v>
      </c>
      <c r="Q231" s="22"/>
      <c r="R231" s="65"/>
      <c r="S231" s="65"/>
      <c r="T231" s="65"/>
      <c r="U231" s="45"/>
    </row>
    <row r="232" spans="1:21" hidden="1">
      <c r="A232" s="58">
        <v>351</v>
      </c>
      <c r="B232" s="61"/>
      <c r="C232" s="65" t="s">
        <v>2492</v>
      </c>
      <c r="D232" s="65" t="s">
        <v>2492</v>
      </c>
      <c r="E232" s="66" t="s">
        <v>2492</v>
      </c>
      <c r="F232" s="22"/>
      <c r="G232" s="22"/>
      <c r="H232" s="22"/>
      <c r="I232" s="22"/>
      <c r="J232" s="22"/>
      <c r="K232" s="95"/>
      <c r="L232" s="50"/>
      <c r="M232" s="22"/>
      <c r="N232" s="22" t="s">
        <v>2195</v>
      </c>
      <c r="O232" s="46" t="str">
        <f>VLOOKUP(N232,Datos!$BJ$5:$BL$334,2,FALSE)</f>
        <v>ESPECIE</v>
      </c>
      <c r="P232" s="46" t="str">
        <f>VLOOKUP(N232,Datos!$BJ$5:$BL$334,3,FALSE)</f>
        <v>SUBESPECIE</v>
      </c>
      <c r="Q232" s="22"/>
      <c r="R232" s="65"/>
      <c r="S232" s="65"/>
      <c r="T232" s="65"/>
      <c r="U232" s="45"/>
    </row>
    <row r="233" spans="1:21" hidden="1">
      <c r="A233" s="58">
        <v>352</v>
      </c>
      <c r="B233" s="61"/>
      <c r="C233" s="65" t="s">
        <v>2492</v>
      </c>
      <c r="D233" s="65" t="s">
        <v>2492</v>
      </c>
      <c r="E233" s="66" t="s">
        <v>2492</v>
      </c>
      <c r="F233" s="22"/>
      <c r="G233" s="22"/>
      <c r="H233" s="22"/>
      <c r="I233" s="22"/>
      <c r="J233" s="22"/>
      <c r="K233" s="95"/>
      <c r="L233" s="50"/>
      <c r="M233" s="22"/>
      <c r="N233" s="22" t="s">
        <v>2195</v>
      </c>
      <c r="O233" s="46" t="str">
        <f>VLOOKUP(N233,Datos!$BJ$5:$BL$334,2,FALSE)</f>
        <v>ESPECIE</v>
      </c>
      <c r="P233" s="46" t="str">
        <f>VLOOKUP(N233,Datos!$BJ$5:$BL$334,3,FALSE)</f>
        <v>SUBESPECIE</v>
      </c>
      <c r="Q233" s="22"/>
      <c r="R233" s="65"/>
      <c r="S233" s="65"/>
      <c r="T233" s="65"/>
      <c r="U233" s="45"/>
    </row>
    <row r="234" spans="1:21" hidden="1">
      <c r="A234" s="58">
        <v>353</v>
      </c>
      <c r="B234" s="61"/>
      <c r="C234" s="65" t="s">
        <v>2492</v>
      </c>
      <c r="D234" s="65" t="s">
        <v>2492</v>
      </c>
      <c r="E234" s="66" t="s">
        <v>2492</v>
      </c>
      <c r="F234" s="22"/>
      <c r="G234" s="22"/>
      <c r="H234" s="22"/>
      <c r="I234" s="22"/>
      <c r="J234" s="22"/>
      <c r="K234" s="95"/>
      <c r="L234" s="50"/>
      <c r="M234" s="22"/>
      <c r="N234" s="22" t="s">
        <v>2195</v>
      </c>
      <c r="O234" s="46" t="str">
        <f>VLOOKUP(N234,Datos!$BJ$5:$BL$334,2,FALSE)</f>
        <v>ESPECIE</v>
      </c>
      <c r="P234" s="46" t="str">
        <f>VLOOKUP(N234,Datos!$BJ$5:$BL$334,3,FALSE)</f>
        <v>SUBESPECIE</v>
      </c>
      <c r="Q234" s="22"/>
      <c r="R234" s="65"/>
      <c r="S234" s="65"/>
      <c r="T234" s="65"/>
      <c r="U234" s="45"/>
    </row>
    <row r="235" spans="1:21" hidden="1">
      <c r="A235" s="58">
        <v>354</v>
      </c>
      <c r="B235" s="61"/>
      <c r="C235" s="65" t="s">
        <v>2492</v>
      </c>
      <c r="D235" s="65" t="s">
        <v>2492</v>
      </c>
      <c r="E235" s="66" t="s">
        <v>2492</v>
      </c>
      <c r="F235" s="22"/>
      <c r="G235" s="22"/>
      <c r="H235" s="22"/>
      <c r="I235" s="22"/>
      <c r="J235" s="22"/>
      <c r="K235" s="95"/>
      <c r="L235" s="50"/>
      <c r="M235" s="22"/>
      <c r="N235" s="22" t="s">
        <v>2195</v>
      </c>
      <c r="O235" s="46" t="str">
        <f>VLOOKUP(N235,Datos!$BJ$5:$BL$334,2,FALSE)</f>
        <v>ESPECIE</v>
      </c>
      <c r="P235" s="46" t="str">
        <f>VLOOKUP(N235,Datos!$BJ$5:$BL$334,3,FALSE)</f>
        <v>SUBESPECIE</v>
      </c>
      <c r="Q235" s="22"/>
      <c r="R235" s="65"/>
      <c r="S235" s="65"/>
      <c r="T235" s="65"/>
      <c r="U235" s="45"/>
    </row>
    <row r="236" spans="1:21" hidden="1">
      <c r="A236" s="58">
        <v>355</v>
      </c>
      <c r="B236" s="61"/>
      <c r="C236" s="65" t="s">
        <v>2492</v>
      </c>
      <c r="D236" s="65" t="s">
        <v>2492</v>
      </c>
      <c r="E236" s="66" t="s">
        <v>2492</v>
      </c>
      <c r="F236" s="22"/>
      <c r="G236" s="22"/>
      <c r="H236" s="22"/>
      <c r="I236" s="22"/>
      <c r="J236" s="22"/>
      <c r="K236" s="95"/>
      <c r="L236" s="50"/>
      <c r="M236" s="22"/>
      <c r="N236" s="22" t="s">
        <v>2195</v>
      </c>
      <c r="O236" s="46" t="str">
        <f>VLOOKUP(N236,Datos!$BJ$5:$BL$334,2,FALSE)</f>
        <v>ESPECIE</v>
      </c>
      <c r="P236" s="46" t="str">
        <f>VLOOKUP(N236,Datos!$BJ$5:$BL$334,3,FALSE)</f>
        <v>SUBESPECIE</v>
      </c>
      <c r="Q236" s="22"/>
      <c r="R236" s="65"/>
      <c r="S236" s="65"/>
      <c r="T236" s="65"/>
      <c r="U236" s="45"/>
    </row>
    <row r="237" spans="1:21" hidden="1">
      <c r="A237" s="58">
        <v>356</v>
      </c>
      <c r="B237" s="61"/>
      <c r="C237" s="65" t="s">
        <v>2492</v>
      </c>
      <c r="D237" s="65" t="s">
        <v>2492</v>
      </c>
      <c r="E237" s="66" t="s">
        <v>2492</v>
      </c>
      <c r="F237" s="22"/>
      <c r="G237" s="22"/>
      <c r="H237" s="22"/>
      <c r="I237" s="22"/>
      <c r="J237" s="22"/>
      <c r="K237" s="95"/>
      <c r="L237" s="50"/>
      <c r="M237" s="22"/>
      <c r="N237" s="22" t="s">
        <v>2195</v>
      </c>
      <c r="O237" s="46" t="str">
        <f>VLOOKUP(N237,Datos!$BJ$5:$BL$334,2,FALSE)</f>
        <v>ESPECIE</v>
      </c>
      <c r="P237" s="46" t="str">
        <f>VLOOKUP(N237,Datos!$BJ$5:$BL$334,3,FALSE)</f>
        <v>SUBESPECIE</v>
      </c>
      <c r="Q237" s="22"/>
      <c r="R237" s="65"/>
      <c r="S237" s="65"/>
      <c r="T237" s="65"/>
      <c r="U237" s="45"/>
    </row>
    <row r="238" spans="1:21" hidden="1">
      <c r="A238" s="58">
        <v>357</v>
      </c>
      <c r="B238" s="61"/>
      <c r="C238" s="65" t="s">
        <v>2492</v>
      </c>
      <c r="D238" s="65" t="s">
        <v>2492</v>
      </c>
      <c r="E238" s="66" t="s">
        <v>2492</v>
      </c>
      <c r="F238" s="22"/>
      <c r="G238" s="22"/>
      <c r="H238" s="22"/>
      <c r="I238" s="22"/>
      <c r="J238" s="22"/>
      <c r="K238" s="95"/>
      <c r="L238" s="50"/>
      <c r="M238" s="22"/>
      <c r="N238" s="22" t="s">
        <v>2195</v>
      </c>
      <c r="O238" s="46" t="str">
        <f>VLOOKUP(N238,Datos!$BJ$5:$BL$334,2,FALSE)</f>
        <v>ESPECIE</v>
      </c>
      <c r="P238" s="46" t="str">
        <f>VLOOKUP(N238,Datos!$BJ$5:$BL$334,3,FALSE)</f>
        <v>SUBESPECIE</v>
      </c>
      <c r="Q238" s="22"/>
      <c r="R238" s="65"/>
      <c r="S238" s="65"/>
      <c r="T238" s="65"/>
      <c r="U238" s="45"/>
    </row>
    <row r="239" spans="1:21" hidden="1">
      <c r="A239" s="58">
        <v>358</v>
      </c>
      <c r="B239" s="61"/>
      <c r="C239" s="65" t="s">
        <v>2492</v>
      </c>
      <c r="D239" s="65" t="s">
        <v>2492</v>
      </c>
      <c r="E239" s="66" t="s">
        <v>2492</v>
      </c>
      <c r="F239" s="22"/>
      <c r="G239" s="22"/>
      <c r="H239" s="22"/>
      <c r="I239" s="22"/>
      <c r="J239" s="22"/>
      <c r="K239" s="95"/>
      <c r="L239" s="50"/>
      <c r="M239" s="22"/>
      <c r="N239" s="22" t="s">
        <v>2195</v>
      </c>
      <c r="O239" s="46" t="str">
        <f>VLOOKUP(N239,Datos!$BJ$5:$BL$334,2,FALSE)</f>
        <v>ESPECIE</v>
      </c>
      <c r="P239" s="46" t="str">
        <f>VLOOKUP(N239,Datos!$BJ$5:$BL$334,3,FALSE)</f>
        <v>SUBESPECIE</v>
      </c>
      <c r="Q239" s="22"/>
      <c r="R239" s="65"/>
      <c r="S239" s="65"/>
      <c r="T239" s="65"/>
      <c r="U239" s="45"/>
    </row>
    <row r="240" spans="1:21" hidden="1">
      <c r="A240" s="58">
        <v>359</v>
      </c>
      <c r="B240" s="61"/>
      <c r="C240" s="65" t="s">
        <v>2492</v>
      </c>
      <c r="D240" s="65" t="s">
        <v>2492</v>
      </c>
      <c r="E240" s="66" t="s">
        <v>2492</v>
      </c>
      <c r="F240" s="22"/>
      <c r="G240" s="22"/>
      <c r="H240" s="22"/>
      <c r="I240" s="22"/>
      <c r="J240" s="22"/>
      <c r="K240" s="95"/>
      <c r="L240" s="50"/>
      <c r="M240" s="22"/>
      <c r="N240" s="22" t="s">
        <v>2195</v>
      </c>
      <c r="O240" s="46" t="str">
        <f>VLOOKUP(N240,Datos!$BJ$5:$BL$334,2,FALSE)</f>
        <v>ESPECIE</v>
      </c>
      <c r="P240" s="46" t="str">
        <f>VLOOKUP(N240,Datos!$BJ$5:$BL$334,3,FALSE)</f>
        <v>SUBESPECIE</v>
      </c>
      <c r="Q240" s="22"/>
      <c r="R240" s="65"/>
      <c r="S240" s="65"/>
      <c r="T240" s="65"/>
      <c r="U240" s="45"/>
    </row>
    <row r="241" spans="1:21" hidden="1">
      <c r="A241" s="58">
        <v>360</v>
      </c>
      <c r="B241" s="61"/>
      <c r="C241" s="65" t="s">
        <v>2492</v>
      </c>
      <c r="D241" s="65" t="s">
        <v>2492</v>
      </c>
      <c r="E241" s="66" t="s">
        <v>2492</v>
      </c>
      <c r="F241" s="22"/>
      <c r="G241" s="22"/>
      <c r="H241" s="22"/>
      <c r="I241" s="22"/>
      <c r="J241" s="22"/>
      <c r="K241" s="95"/>
      <c r="L241" s="50"/>
      <c r="M241" s="22"/>
      <c r="N241" s="22" t="s">
        <v>2195</v>
      </c>
      <c r="O241" s="46" t="str">
        <f>VLOOKUP(N241,Datos!$BJ$5:$BL$334,2,FALSE)</f>
        <v>ESPECIE</v>
      </c>
      <c r="P241" s="46" t="str">
        <f>VLOOKUP(N241,Datos!$BJ$5:$BL$334,3,FALSE)</f>
        <v>SUBESPECIE</v>
      </c>
      <c r="Q241" s="22"/>
      <c r="R241" s="65"/>
      <c r="S241" s="65"/>
      <c r="T241" s="65"/>
      <c r="U241" s="45"/>
    </row>
    <row r="242" spans="1:21" hidden="1">
      <c r="A242" s="58">
        <v>361</v>
      </c>
      <c r="B242" s="61"/>
      <c r="C242" s="65" t="s">
        <v>2492</v>
      </c>
      <c r="D242" s="65" t="s">
        <v>2492</v>
      </c>
      <c r="E242" s="66" t="s">
        <v>2492</v>
      </c>
      <c r="F242" s="22"/>
      <c r="G242" s="22"/>
      <c r="H242" s="22"/>
      <c r="I242" s="22"/>
      <c r="J242" s="22"/>
      <c r="K242" s="95"/>
      <c r="L242" s="50"/>
      <c r="M242" s="22"/>
      <c r="N242" s="22" t="s">
        <v>2195</v>
      </c>
      <c r="O242" s="46" t="str">
        <f>VLOOKUP(N242,Datos!$BJ$5:$BL$334,2,FALSE)</f>
        <v>ESPECIE</v>
      </c>
      <c r="P242" s="46" t="str">
        <f>VLOOKUP(N242,Datos!$BJ$5:$BL$334,3,FALSE)</f>
        <v>SUBESPECIE</v>
      </c>
      <c r="Q242" s="22"/>
      <c r="R242" s="65"/>
      <c r="S242" s="65"/>
      <c r="T242" s="65"/>
      <c r="U242" s="45"/>
    </row>
    <row r="243" spans="1:21" hidden="1">
      <c r="A243" s="58">
        <v>362</v>
      </c>
      <c r="B243" s="61"/>
      <c r="C243" s="65" t="s">
        <v>2492</v>
      </c>
      <c r="D243" s="65" t="s">
        <v>2492</v>
      </c>
      <c r="E243" s="66" t="s">
        <v>2492</v>
      </c>
      <c r="F243" s="22"/>
      <c r="G243" s="22"/>
      <c r="H243" s="22"/>
      <c r="I243" s="22"/>
      <c r="J243" s="22"/>
      <c r="K243" s="95"/>
      <c r="L243" s="50"/>
      <c r="M243" s="22"/>
      <c r="N243" s="22" t="s">
        <v>2195</v>
      </c>
      <c r="O243" s="46" t="str">
        <f>VLOOKUP(N243,Datos!$BJ$5:$BL$334,2,FALSE)</f>
        <v>ESPECIE</v>
      </c>
      <c r="P243" s="46" t="str">
        <f>VLOOKUP(N243,Datos!$BJ$5:$BL$334,3,FALSE)</f>
        <v>SUBESPECIE</v>
      </c>
      <c r="Q243" s="22"/>
      <c r="R243" s="65"/>
      <c r="S243" s="65"/>
      <c r="T243" s="65"/>
      <c r="U243" s="45"/>
    </row>
    <row r="244" spans="1:21" hidden="1">
      <c r="A244" s="58">
        <v>363</v>
      </c>
      <c r="B244" s="61"/>
      <c r="C244" s="65" t="s">
        <v>2492</v>
      </c>
      <c r="D244" s="65" t="s">
        <v>2492</v>
      </c>
      <c r="E244" s="66" t="s">
        <v>2492</v>
      </c>
      <c r="F244" s="22"/>
      <c r="G244" s="22"/>
      <c r="H244" s="22"/>
      <c r="I244" s="22"/>
      <c r="J244" s="22"/>
      <c r="K244" s="95"/>
      <c r="L244" s="50"/>
      <c r="M244" s="22"/>
      <c r="N244" s="22" t="s">
        <v>2195</v>
      </c>
      <c r="O244" s="46" t="str">
        <f>VLOOKUP(N244,Datos!$BJ$5:$BL$334,2,FALSE)</f>
        <v>ESPECIE</v>
      </c>
      <c r="P244" s="46" t="str">
        <f>VLOOKUP(N244,Datos!$BJ$5:$BL$334,3,FALSE)</f>
        <v>SUBESPECIE</v>
      </c>
      <c r="Q244" s="22"/>
      <c r="R244" s="65"/>
      <c r="S244" s="65"/>
      <c r="T244" s="65"/>
      <c r="U244" s="45"/>
    </row>
    <row r="245" spans="1:21" hidden="1">
      <c r="A245" s="58">
        <v>364</v>
      </c>
      <c r="B245" s="61"/>
      <c r="C245" s="65" t="s">
        <v>2492</v>
      </c>
      <c r="D245" s="65" t="s">
        <v>2492</v>
      </c>
      <c r="E245" s="66" t="s">
        <v>2492</v>
      </c>
      <c r="F245" s="22"/>
      <c r="G245" s="22"/>
      <c r="H245" s="22"/>
      <c r="I245" s="22"/>
      <c r="J245" s="22"/>
      <c r="K245" s="95"/>
      <c r="L245" s="50"/>
      <c r="M245" s="22"/>
      <c r="N245" s="22" t="s">
        <v>2195</v>
      </c>
      <c r="O245" s="46" t="str">
        <f>VLOOKUP(N245,Datos!$BJ$5:$BL$334,2,FALSE)</f>
        <v>ESPECIE</v>
      </c>
      <c r="P245" s="46" t="str">
        <f>VLOOKUP(N245,Datos!$BJ$5:$BL$334,3,FALSE)</f>
        <v>SUBESPECIE</v>
      </c>
      <c r="Q245" s="22"/>
      <c r="R245" s="65"/>
      <c r="S245" s="65"/>
      <c r="T245" s="65"/>
      <c r="U245" s="45"/>
    </row>
    <row r="246" spans="1:21" hidden="1">
      <c r="A246" s="58">
        <v>365</v>
      </c>
      <c r="B246" s="61"/>
      <c r="C246" s="65" t="s">
        <v>2492</v>
      </c>
      <c r="D246" s="65" t="s">
        <v>2492</v>
      </c>
      <c r="E246" s="66" t="s">
        <v>2492</v>
      </c>
      <c r="F246" s="22"/>
      <c r="G246" s="22"/>
      <c r="H246" s="22"/>
      <c r="I246" s="22"/>
      <c r="J246" s="22"/>
      <c r="K246" s="95"/>
      <c r="L246" s="50"/>
      <c r="M246" s="22"/>
      <c r="N246" s="22" t="s">
        <v>2195</v>
      </c>
      <c r="O246" s="46" t="str">
        <f>VLOOKUP(N246,Datos!$BJ$5:$BL$334,2,FALSE)</f>
        <v>ESPECIE</v>
      </c>
      <c r="P246" s="46" t="str">
        <f>VLOOKUP(N246,Datos!$BJ$5:$BL$334,3,FALSE)</f>
        <v>SUBESPECIE</v>
      </c>
      <c r="Q246" s="22"/>
      <c r="R246" s="65"/>
      <c r="S246" s="65"/>
      <c r="T246" s="65"/>
      <c r="U246" s="45"/>
    </row>
    <row r="247" spans="1:21" hidden="1">
      <c r="A247" s="58">
        <v>366</v>
      </c>
      <c r="B247" s="61"/>
      <c r="C247" s="65" t="s">
        <v>2492</v>
      </c>
      <c r="D247" s="65" t="s">
        <v>2492</v>
      </c>
      <c r="E247" s="66" t="s">
        <v>2492</v>
      </c>
      <c r="F247" s="22"/>
      <c r="G247" s="22"/>
      <c r="H247" s="22"/>
      <c r="I247" s="22"/>
      <c r="J247" s="22"/>
      <c r="K247" s="95"/>
      <c r="L247" s="50"/>
      <c r="M247" s="22"/>
      <c r="N247" s="22" t="s">
        <v>2195</v>
      </c>
      <c r="O247" s="46" t="str">
        <f>VLOOKUP(N247,Datos!$BJ$5:$BL$334,2,FALSE)</f>
        <v>ESPECIE</v>
      </c>
      <c r="P247" s="46" t="str">
        <f>VLOOKUP(N247,Datos!$BJ$5:$BL$334,3,FALSE)</f>
        <v>SUBESPECIE</v>
      </c>
      <c r="Q247" s="22"/>
      <c r="R247" s="65"/>
      <c r="S247" s="65"/>
      <c r="T247" s="65"/>
      <c r="U247" s="45"/>
    </row>
    <row r="248" spans="1:21" hidden="1">
      <c r="A248" s="58">
        <v>367</v>
      </c>
      <c r="B248" s="61"/>
      <c r="C248" s="65" t="s">
        <v>2492</v>
      </c>
      <c r="D248" s="65" t="s">
        <v>2492</v>
      </c>
      <c r="E248" s="66" t="s">
        <v>2492</v>
      </c>
      <c r="F248" s="22"/>
      <c r="G248" s="22"/>
      <c r="H248" s="22"/>
      <c r="I248" s="22"/>
      <c r="J248" s="22"/>
      <c r="K248" s="95"/>
      <c r="L248" s="50"/>
      <c r="M248" s="22"/>
      <c r="N248" s="22" t="s">
        <v>2195</v>
      </c>
      <c r="O248" s="46" t="str">
        <f>VLOOKUP(N248,Datos!$BJ$5:$BL$334,2,FALSE)</f>
        <v>ESPECIE</v>
      </c>
      <c r="P248" s="46" t="str">
        <f>VLOOKUP(N248,Datos!$BJ$5:$BL$334,3,FALSE)</f>
        <v>SUBESPECIE</v>
      </c>
      <c r="Q248" s="22"/>
      <c r="R248" s="65"/>
      <c r="S248" s="65"/>
      <c r="T248" s="65"/>
      <c r="U248" s="45"/>
    </row>
    <row r="249" spans="1:21" hidden="1">
      <c r="A249" s="58">
        <v>368</v>
      </c>
      <c r="B249" s="61"/>
      <c r="C249" s="65" t="s">
        <v>2492</v>
      </c>
      <c r="D249" s="65" t="s">
        <v>2492</v>
      </c>
      <c r="E249" s="66" t="s">
        <v>2492</v>
      </c>
      <c r="F249" s="22"/>
      <c r="G249" s="22"/>
      <c r="H249" s="22"/>
      <c r="I249" s="22"/>
      <c r="J249" s="22"/>
      <c r="K249" s="95"/>
      <c r="L249" s="50"/>
      <c r="M249" s="22"/>
      <c r="N249" s="22" t="s">
        <v>2195</v>
      </c>
      <c r="O249" s="46" t="str">
        <f>VLOOKUP(N249,Datos!$BJ$5:$BL$334,2,FALSE)</f>
        <v>ESPECIE</v>
      </c>
      <c r="P249" s="46" t="str">
        <f>VLOOKUP(N249,Datos!$BJ$5:$BL$334,3,FALSE)</f>
        <v>SUBESPECIE</v>
      </c>
      <c r="Q249" s="22"/>
      <c r="R249" s="65"/>
      <c r="S249" s="65"/>
      <c r="T249" s="65"/>
      <c r="U249" s="45"/>
    </row>
    <row r="250" spans="1:21" hidden="1">
      <c r="A250" s="58">
        <v>369</v>
      </c>
      <c r="B250" s="61"/>
      <c r="C250" s="49" t="s">
        <v>2492</v>
      </c>
      <c r="D250" s="49" t="s">
        <v>2492</v>
      </c>
      <c r="E250" s="64" t="s">
        <v>2492</v>
      </c>
      <c r="F250" s="22"/>
      <c r="G250" s="22"/>
      <c r="H250" s="22"/>
      <c r="I250" s="22"/>
      <c r="J250" s="22"/>
      <c r="K250" s="95"/>
      <c r="L250" s="50"/>
      <c r="M250" s="22"/>
      <c r="N250" s="22" t="s">
        <v>2195</v>
      </c>
      <c r="O250" s="46" t="str">
        <f>VLOOKUP(N250,Datos!$BJ$5:$BL$334,2,FALSE)</f>
        <v>ESPECIE</v>
      </c>
      <c r="P250" s="46" t="str">
        <f>VLOOKUP(N250,Datos!$BJ$5:$BL$334,3,FALSE)</f>
        <v>SUBESPECIE</v>
      </c>
      <c r="Q250" s="22"/>
      <c r="R250" s="65"/>
      <c r="S250" s="65"/>
      <c r="T250" s="65"/>
      <c r="U250" s="45"/>
    </row>
    <row r="251" spans="1:21" hidden="1">
      <c r="A251" s="58">
        <v>370</v>
      </c>
      <c r="B251" s="61"/>
      <c r="C251" s="49" t="s">
        <v>2492</v>
      </c>
      <c r="D251" s="49" t="s">
        <v>2492</v>
      </c>
      <c r="E251" s="64" t="s">
        <v>2492</v>
      </c>
      <c r="F251" s="22"/>
      <c r="G251" s="22"/>
      <c r="H251" s="22"/>
      <c r="I251" s="22"/>
      <c r="J251" s="22"/>
      <c r="K251" s="95"/>
      <c r="L251" s="50"/>
      <c r="M251" s="22"/>
      <c r="N251" s="22" t="s">
        <v>2195</v>
      </c>
      <c r="O251" s="46" t="str">
        <f>VLOOKUP(N251,Datos!$BJ$5:$BL$334,2,FALSE)</f>
        <v>ESPECIE</v>
      </c>
      <c r="P251" s="46" t="str">
        <f>VLOOKUP(N251,Datos!$BJ$5:$BL$334,3,FALSE)</f>
        <v>SUBESPECIE</v>
      </c>
      <c r="Q251" s="22"/>
      <c r="R251" s="65"/>
      <c r="S251" s="65"/>
      <c r="T251" s="65"/>
      <c r="U251" s="45"/>
    </row>
    <row r="252" spans="1:21" hidden="1">
      <c r="A252" s="58">
        <v>371</v>
      </c>
      <c r="B252" s="61"/>
      <c r="C252" s="49" t="s">
        <v>2492</v>
      </c>
      <c r="D252" s="49" t="s">
        <v>2492</v>
      </c>
      <c r="E252" s="64" t="s">
        <v>2492</v>
      </c>
      <c r="F252" s="22"/>
      <c r="G252" s="22"/>
      <c r="H252" s="22"/>
      <c r="I252" s="22"/>
      <c r="J252" s="22"/>
      <c r="K252" s="95"/>
      <c r="L252" s="50"/>
      <c r="M252" s="22"/>
      <c r="N252" s="22" t="s">
        <v>2195</v>
      </c>
      <c r="O252" s="46" t="str">
        <f>VLOOKUP(N252,Datos!$BJ$5:$BL$334,2,FALSE)</f>
        <v>ESPECIE</v>
      </c>
      <c r="P252" s="46" t="str">
        <f>VLOOKUP(N252,Datos!$BJ$5:$BL$334,3,FALSE)</f>
        <v>SUBESPECIE</v>
      </c>
      <c r="Q252" s="22"/>
      <c r="R252" s="65"/>
      <c r="S252" s="65"/>
      <c r="T252" s="65"/>
      <c r="U252" s="45"/>
    </row>
    <row r="253" spans="1:21" hidden="1">
      <c r="A253" s="58">
        <v>372</v>
      </c>
      <c r="B253" s="61"/>
      <c r="C253" s="49" t="s">
        <v>2492</v>
      </c>
      <c r="D253" s="49" t="s">
        <v>2492</v>
      </c>
      <c r="E253" s="64" t="s">
        <v>2492</v>
      </c>
      <c r="F253" s="22"/>
      <c r="G253" s="22"/>
      <c r="H253" s="22"/>
      <c r="I253" s="22"/>
      <c r="J253" s="22"/>
      <c r="K253" s="95"/>
      <c r="L253" s="50"/>
      <c r="M253" s="22"/>
      <c r="N253" s="22" t="s">
        <v>2195</v>
      </c>
      <c r="O253" s="46" t="str">
        <f>VLOOKUP(N253,Datos!$BJ$5:$BL$334,2,FALSE)</f>
        <v>ESPECIE</v>
      </c>
      <c r="P253" s="46" t="str">
        <f>VLOOKUP(N253,Datos!$BJ$5:$BL$334,3,FALSE)</f>
        <v>SUBESPECIE</v>
      </c>
      <c r="Q253" s="22"/>
      <c r="R253" s="65"/>
      <c r="S253" s="65"/>
      <c r="T253" s="65"/>
      <c r="U253" s="45"/>
    </row>
    <row r="254" spans="1:21" hidden="1">
      <c r="A254" s="58">
        <v>373</v>
      </c>
      <c r="B254" s="61"/>
      <c r="C254" s="49" t="s">
        <v>2492</v>
      </c>
      <c r="D254" s="49" t="s">
        <v>2492</v>
      </c>
      <c r="E254" s="64" t="s">
        <v>2492</v>
      </c>
      <c r="F254" s="22"/>
      <c r="G254" s="22"/>
      <c r="H254" s="22"/>
      <c r="I254" s="22"/>
      <c r="J254" s="22"/>
      <c r="K254" s="95"/>
      <c r="L254" s="50"/>
      <c r="M254" s="22"/>
      <c r="N254" s="22" t="s">
        <v>2195</v>
      </c>
      <c r="O254" s="46" t="str">
        <f>VLOOKUP(N254,Datos!$BJ$5:$BL$334,2,FALSE)</f>
        <v>ESPECIE</v>
      </c>
      <c r="P254" s="46" t="str">
        <f>VLOOKUP(N254,Datos!$BJ$5:$BL$334,3,FALSE)</f>
        <v>SUBESPECIE</v>
      </c>
      <c r="Q254" s="22"/>
      <c r="R254" s="65"/>
      <c r="S254" s="65"/>
      <c r="T254" s="65"/>
      <c r="U254" s="45"/>
    </row>
    <row r="255" spans="1:21" hidden="1">
      <c r="A255" s="58">
        <v>374</v>
      </c>
      <c r="B255" s="61"/>
      <c r="C255" s="49" t="s">
        <v>2492</v>
      </c>
      <c r="D255" s="49" t="s">
        <v>2492</v>
      </c>
      <c r="E255" s="64" t="s">
        <v>2492</v>
      </c>
      <c r="F255" s="22"/>
      <c r="G255" s="22"/>
      <c r="H255" s="22"/>
      <c r="I255" s="22"/>
      <c r="J255" s="22"/>
      <c r="K255" s="95"/>
      <c r="L255" s="50"/>
      <c r="M255" s="22"/>
      <c r="N255" s="22" t="s">
        <v>2195</v>
      </c>
      <c r="O255" s="46" t="str">
        <f>VLOOKUP(N255,Datos!$BJ$5:$BL$334,2,FALSE)</f>
        <v>ESPECIE</v>
      </c>
      <c r="P255" s="46" t="str">
        <f>VLOOKUP(N255,Datos!$BJ$5:$BL$334,3,FALSE)</f>
        <v>SUBESPECIE</v>
      </c>
      <c r="Q255" s="22"/>
      <c r="R255" s="65"/>
      <c r="S255" s="65"/>
      <c r="T255" s="65"/>
      <c r="U255" s="45"/>
    </row>
    <row r="256" spans="1:21" hidden="1">
      <c r="A256" s="58">
        <v>375</v>
      </c>
      <c r="B256" s="61"/>
      <c r="C256" s="49" t="s">
        <v>2492</v>
      </c>
      <c r="D256" s="49" t="s">
        <v>2492</v>
      </c>
      <c r="E256" s="64" t="s">
        <v>2492</v>
      </c>
      <c r="F256" s="22"/>
      <c r="G256" s="22"/>
      <c r="H256" s="22"/>
      <c r="I256" s="22"/>
      <c r="J256" s="22"/>
      <c r="K256" s="95"/>
      <c r="L256" s="50"/>
      <c r="M256" s="22"/>
      <c r="N256" s="22" t="s">
        <v>2195</v>
      </c>
      <c r="O256" s="46" t="str">
        <f>VLOOKUP(N256,Datos!$BJ$5:$BL$334,2,FALSE)</f>
        <v>ESPECIE</v>
      </c>
      <c r="P256" s="46" t="str">
        <f>VLOOKUP(N256,Datos!$BJ$5:$BL$334,3,FALSE)</f>
        <v>SUBESPECIE</v>
      </c>
      <c r="Q256" s="22"/>
      <c r="R256" s="65"/>
      <c r="S256" s="65"/>
      <c r="T256" s="65"/>
      <c r="U256" s="45"/>
    </row>
    <row r="257" spans="1:21" hidden="1">
      <c r="A257" s="58">
        <v>376</v>
      </c>
      <c r="B257" s="61"/>
      <c r="C257" s="49" t="s">
        <v>2492</v>
      </c>
      <c r="D257" s="49" t="s">
        <v>2492</v>
      </c>
      <c r="E257" s="64" t="s">
        <v>2492</v>
      </c>
      <c r="F257" s="22"/>
      <c r="G257" s="22"/>
      <c r="H257" s="22"/>
      <c r="I257" s="22"/>
      <c r="J257" s="22"/>
      <c r="K257" s="95"/>
      <c r="L257" s="50"/>
      <c r="M257" s="22"/>
      <c r="N257" s="22" t="s">
        <v>2195</v>
      </c>
      <c r="O257" s="46" t="str">
        <f>VLOOKUP(N257,Datos!$BJ$5:$BL$334,2,FALSE)</f>
        <v>ESPECIE</v>
      </c>
      <c r="P257" s="46" t="str">
        <f>VLOOKUP(N257,Datos!$BJ$5:$BL$334,3,FALSE)</f>
        <v>SUBESPECIE</v>
      </c>
      <c r="Q257" s="22"/>
      <c r="R257" s="65"/>
      <c r="S257" s="65"/>
      <c r="T257" s="65"/>
      <c r="U257" s="45"/>
    </row>
    <row r="258" spans="1:21" hidden="1">
      <c r="A258" s="58">
        <v>377</v>
      </c>
      <c r="B258" s="61"/>
      <c r="C258" s="49" t="s">
        <v>2492</v>
      </c>
      <c r="D258" s="49" t="s">
        <v>2492</v>
      </c>
      <c r="E258" s="64" t="s">
        <v>2492</v>
      </c>
      <c r="F258" s="22"/>
      <c r="G258" s="22"/>
      <c r="H258" s="22"/>
      <c r="I258" s="22"/>
      <c r="J258" s="22"/>
      <c r="K258" s="95"/>
      <c r="L258" s="50"/>
      <c r="M258" s="22"/>
      <c r="N258" s="22" t="s">
        <v>2195</v>
      </c>
      <c r="O258" s="46" t="str">
        <f>VLOOKUP(N258,Datos!$BJ$5:$BL$334,2,FALSE)</f>
        <v>ESPECIE</v>
      </c>
      <c r="P258" s="46" t="str">
        <f>VLOOKUP(N258,Datos!$BJ$5:$BL$334,3,FALSE)</f>
        <v>SUBESPECIE</v>
      </c>
      <c r="Q258" s="22"/>
      <c r="R258" s="65"/>
      <c r="S258" s="65"/>
      <c r="T258" s="65"/>
      <c r="U258" s="45"/>
    </row>
    <row r="259" spans="1:21" hidden="1">
      <c r="A259" s="58">
        <v>378</v>
      </c>
      <c r="B259" s="61"/>
      <c r="C259" s="49" t="s">
        <v>2492</v>
      </c>
      <c r="D259" s="49" t="s">
        <v>2492</v>
      </c>
      <c r="E259" s="64" t="s">
        <v>2492</v>
      </c>
      <c r="F259" s="22"/>
      <c r="G259" s="22"/>
      <c r="H259" s="22"/>
      <c r="I259" s="22"/>
      <c r="J259" s="22"/>
      <c r="K259" s="95"/>
      <c r="L259" s="50"/>
      <c r="M259" s="22"/>
      <c r="N259" s="22" t="s">
        <v>2195</v>
      </c>
      <c r="O259" s="46" t="str">
        <f>VLOOKUP(N259,Datos!$BJ$5:$BL$334,2,FALSE)</f>
        <v>ESPECIE</v>
      </c>
      <c r="P259" s="46" t="str">
        <f>VLOOKUP(N259,Datos!$BJ$5:$BL$334,3,FALSE)</f>
        <v>SUBESPECIE</v>
      </c>
      <c r="Q259" s="22"/>
      <c r="R259" s="65"/>
      <c r="S259" s="65"/>
      <c r="T259" s="65"/>
      <c r="U259" s="45"/>
    </row>
    <row r="260" spans="1:21" hidden="1">
      <c r="A260" s="58">
        <v>379</v>
      </c>
      <c r="B260" s="61"/>
      <c r="C260" s="49" t="s">
        <v>2492</v>
      </c>
      <c r="D260" s="49" t="s">
        <v>2492</v>
      </c>
      <c r="E260" s="64" t="s">
        <v>2492</v>
      </c>
      <c r="F260" s="22"/>
      <c r="G260" s="22"/>
      <c r="H260" s="22"/>
      <c r="I260" s="22"/>
      <c r="J260" s="22"/>
      <c r="K260" s="95"/>
      <c r="L260" s="50"/>
      <c r="M260" s="22"/>
      <c r="N260" s="22" t="s">
        <v>2195</v>
      </c>
      <c r="O260" s="46" t="str">
        <f>VLOOKUP(N260,Datos!$BJ$5:$BL$334,2,FALSE)</f>
        <v>ESPECIE</v>
      </c>
      <c r="P260" s="46" t="str">
        <f>VLOOKUP(N260,Datos!$BJ$5:$BL$334,3,FALSE)</f>
        <v>SUBESPECIE</v>
      </c>
      <c r="Q260" s="22"/>
      <c r="R260" s="65"/>
      <c r="S260" s="65"/>
      <c r="T260" s="65"/>
      <c r="U260" s="45"/>
    </row>
    <row r="261" spans="1:21" hidden="1">
      <c r="A261" s="58">
        <v>380</v>
      </c>
      <c r="B261" s="61"/>
      <c r="C261" s="49" t="s">
        <v>2492</v>
      </c>
      <c r="D261" s="49" t="s">
        <v>2492</v>
      </c>
      <c r="E261" s="64" t="s">
        <v>2492</v>
      </c>
      <c r="F261" s="22"/>
      <c r="G261" s="22"/>
      <c r="H261" s="22"/>
      <c r="I261" s="22"/>
      <c r="J261" s="22"/>
      <c r="K261" s="95"/>
      <c r="L261" s="50"/>
      <c r="M261" s="22"/>
      <c r="N261" s="22" t="s">
        <v>2195</v>
      </c>
      <c r="O261" s="46" t="str">
        <f>VLOOKUP(N261,Datos!$BJ$5:$BL$334,2,FALSE)</f>
        <v>ESPECIE</v>
      </c>
      <c r="P261" s="46" t="str">
        <f>VLOOKUP(N261,Datos!$BJ$5:$BL$334,3,FALSE)</f>
        <v>SUBESPECIE</v>
      </c>
      <c r="Q261" s="22"/>
      <c r="R261" s="65"/>
      <c r="S261" s="65"/>
      <c r="T261" s="65"/>
      <c r="U261" s="45"/>
    </row>
    <row r="262" spans="1:21" hidden="1">
      <c r="A262" s="58">
        <v>381</v>
      </c>
      <c r="B262" s="61"/>
      <c r="C262" s="49" t="s">
        <v>2492</v>
      </c>
      <c r="D262" s="49" t="s">
        <v>2492</v>
      </c>
      <c r="E262" s="64" t="s">
        <v>2492</v>
      </c>
      <c r="F262" s="22"/>
      <c r="G262" s="22"/>
      <c r="H262" s="22"/>
      <c r="I262" s="22"/>
      <c r="J262" s="22"/>
      <c r="K262" s="95"/>
      <c r="L262" s="50"/>
      <c r="M262" s="22"/>
      <c r="N262" s="22" t="s">
        <v>2195</v>
      </c>
      <c r="O262" s="46" t="str">
        <f>VLOOKUP(N262,Datos!$BJ$5:$BL$334,2,FALSE)</f>
        <v>ESPECIE</v>
      </c>
      <c r="P262" s="46" t="str">
        <f>VLOOKUP(N262,Datos!$BJ$5:$BL$334,3,FALSE)</f>
        <v>SUBESPECIE</v>
      </c>
      <c r="Q262" s="22"/>
      <c r="R262" s="65"/>
      <c r="S262" s="65"/>
      <c r="T262" s="65"/>
      <c r="U262" s="45"/>
    </row>
    <row r="263" spans="1:21" hidden="1">
      <c r="A263" s="58">
        <v>382</v>
      </c>
      <c r="B263" s="61"/>
      <c r="C263" s="49" t="s">
        <v>2492</v>
      </c>
      <c r="D263" s="49" t="s">
        <v>2492</v>
      </c>
      <c r="E263" s="64" t="s">
        <v>2492</v>
      </c>
      <c r="F263" s="22"/>
      <c r="G263" s="22"/>
      <c r="H263" s="22"/>
      <c r="I263" s="22"/>
      <c r="J263" s="22"/>
      <c r="K263" s="95"/>
      <c r="L263" s="50"/>
      <c r="M263" s="22"/>
      <c r="N263" s="22" t="s">
        <v>2195</v>
      </c>
      <c r="O263" s="46" t="str">
        <f>VLOOKUP(N263,Datos!$BJ$5:$BL$334,2,FALSE)</f>
        <v>ESPECIE</v>
      </c>
      <c r="P263" s="46" t="str">
        <f>VLOOKUP(N263,Datos!$BJ$5:$BL$334,3,FALSE)</f>
        <v>SUBESPECIE</v>
      </c>
      <c r="Q263" s="22"/>
      <c r="R263" s="65"/>
      <c r="S263" s="65"/>
      <c r="T263" s="65"/>
      <c r="U263" s="45"/>
    </row>
    <row r="264" spans="1:21" hidden="1">
      <c r="A264" s="58">
        <v>383</v>
      </c>
      <c r="B264" s="61"/>
      <c r="C264" s="49" t="s">
        <v>2492</v>
      </c>
      <c r="D264" s="49" t="s">
        <v>2492</v>
      </c>
      <c r="E264" s="64" t="s">
        <v>2492</v>
      </c>
      <c r="F264" s="22"/>
      <c r="G264" s="22"/>
      <c r="H264" s="22"/>
      <c r="I264" s="22"/>
      <c r="J264" s="22"/>
      <c r="K264" s="95"/>
      <c r="L264" s="50"/>
      <c r="M264" s="22"/>
      <c r="N264" s="22" t="s">
        <v>2195</v>
      </c>
      <c r="O264" s="46" t="str">
        <f>VLOOKUP(N264,Datos!$BJ$5:$BL$334,2,FALSE)</f>
        <v>ESPECIE</v>
      </c>
      <c r="P264" s="46" t="str">
        <f>VLOOKUP(N264,Datos!$BJ$5:$BL$334,3,FALSE)</f>
        <v>SUBESPECIE</v>
      </c>
      <c r="Q264" s="22"/>
      <c r="R264" s="65"/>
      <c r="S264" s="65"/>
      <c r="T264" s="65"/>
      <c r="U264" s="45"/>
    </row>
    <row r="265" spans="1:21" hidden="1">
      <c r="A265" s="58">
        <v>384</v>
      </c>
      <c r="B265" s="61"/>
      <c r="C265" s="49" t="s">
        <v>2492</v>
      </c>
      <c r="D265" s="49" t="s">
        <v>2492</v>
      </c>
      <c r="E265" s="64" t="s">
        <v>2492</v>
      </c>
      <c r="F265" s="22"/>
      <c r="G265" s="22"/>
      <c r="H265" s="22"/>
      <c r="I265" s="22"/>
      <c r="J265" s="22"/>
      <c r="K265" s="95"/>
      <c r="L265" s="50"/>
      <c r="M265" s="22"/>
      <c r="N265" s="22" t="s">
        <v>2195</v>
      </c>
      <c r="O265" s="46" t="str">
        <f>VLOOKUP(N265,Datos!$BJ$5:$BL$334,2,FALSE)</f>
        <v>ESPECIE</v>
      </c>
      <c r="P265" s="46" t="str">
        <f>VLOOKUP(N265,Datos!$BJ$5:$BL$334,3,FALSE)</f>
        <v>SUBESPECIE</v>
      </c>
      <c r="Q265" s="22"/>
      <c r="R265" s="65"/>
      <c r="S265" s="65"/>
      <c r="T265" s="65"/>
      <c r="U265" s="45"/>
    </row>
    <row r="266" spans="1:21" hidden="1">
      <c r="A266" s="58">
        <v>385</v>
      </c>
      <c r="B266" s="61"/>
      <c r="C266" s="49" t="s">
        <v>2492</v>
      </c>
      <c r="D266" s="49" t="s">
        <v>2492</v>
      </c>
      <c r="E266" s="64" t="s">
        <v>2492</v>
      </c>
      <c r="F266" s="22"/>
      <c r="G266" s="22"/>
      <c r="H266" s="22"/>
      <c r="I266" s="22"/>
      <c r="J266" s="22"/>
      <c r="K266" s="95"/>
      <c r="L266" s="50"/>
      <c r="M266" s="22"/>
      <c r="N266" s="22" t="s">
        <v>2195</v>
      </c>
      <c r="O266" s="46" t="str">
        <f>VLOOKUP(N266,Datos!$BJ$5:$BL$334,2,FALSE)</f>
        <v>ESPECIE</v>
      </c>
      <c r="P266" s="46" t="str">
        <f>VLOOKUP(N266,Datos!$BJ$5:$BL$334,3,FALSE)</f>
        <v>SUBESPECIE</v>
      </c>
      <c r="Q266" s="22"/>
      <c r="R266" s="65"/>
      <c r="S266" s="65"/>
      <c r="T266" s="65"/>
      <c r="U266" s="45"/>
    </row>
    <row r="267" spans="1:21" hidden="1">
      <c r="A267" s="58">
        <v>386</v>
      </c>
      <c r="B267" s="61"/>
      <c r="C267" s="49" t="s">
        <v>2492</v>
      </c>
      <c r="D267" s="49" t="s">
        <v>2492</v>
      </c>
      <c r="E267" s="64" t="s">
        <v>2492</v>
      </c>
      <c r="F267" s="22"/>
      <c r="G267" s="22"/>
      <c r="H267" s="22"/>
      <c r="I267" s="22"/>
      <c r="J267" s="22"/>
      <c r="K267" s="95"/>
      <c r="L267" s="50"/>
      <c r="M267" s="22"/>
      <c r="N267" s="22" t="s">
        <v>2195</v>
      </c>
      <c r="O267" s="46" t="str">
        <f>VLOOKUP(N267,Datos!$BJ$5:$BL$334,2,FALSE)</f>
        <v>ESPECIE</v>
      </c>
      <c r="P267" s="46" t="str">
        <f>VLOOKUP(N267,Datos!$BJ$5:$BL$334,3,FALSE)</f>
        <v>SUBESPECIE</v>
      </c>
      <c r="Q267" s="22"/>
      <c r="R267" s="65"/>
      <c r="S267" s="65"/>
      <c r="T267" s="65"/>
      <c r="U267" s="45"/>
    </row>
    <row r="268" spans="1:21" hidden="1">
      <c r="A268" s="58">
        <v>387</v>
      </c>
      <c r="B268" s="61"/>
      <c r="C268" s="49" t="s">
        <v>2492</v>
      </c>
      <c r="D268" s="49" t="s">
        <v>2492</v>
      </c>
      <c r="E268" s="64" t="s">
        <v>2492</v>
      </c>
      <c r="F268" s="22"/>
      <c r="G268" s="22"/>
      <c r="H268" s="22"/>
      <c r="I268" s="22"/>
      <c r="J268" s="22"/>
      <c r="K268" s="95"/>
      <c r="L268" s="50"/>
      <c r="M268" s="22"/>
      <c r="N268" s="22" t="s">
        <v>2195</v>
      </c>
      <c r="O268" s="46" t="str">
        <f>VLOOKUP(N268,Datos!$BJ$5:$BL$334,2,FALSE)</f>
        <v>ESPECIE</v>
      </c>
      <c r="P268" s="46" t="str">
        <f>VLOOKUP(N268,Datos!$BJ$5:$BL$334,3,FALSE)</f>
        <v>SUBESPECIE</v>
      </c>
      <c r="Q268" s="22"/>
      <c r="R268" s="65"/>
      <c r="S268" s="65"/>
      <c r="T268" s="65"/>
      <c r="U268" s="45"/>
    </row>
    <row r="269" spans="1:21" hidden="1">
      <c r="A269" s="58">
        <v>388</v>
      </c>
      <c r="B269" s="61"/>
      <c r="C269" s="49" t="s">
        <v>2492</v>
      </c>
      <c r="D269" s="49" t="s">
        <v>2492</v>
      </c>
      <c r="E269" s="64" t="s">
        <v>2492</v>
      </c>
      <c r="F269" s="22"/>
      <c r="G269" s="22"/>
      <c r="H269" s="22"/>
      <c r="I269" s="22"/>
      <c r="J269" s="22"/>
      <c r="K269" s="95"/>
      <c r="L269" s="50"/>
      <c r="M269" s="22"/>
      <c r="N269" s="22" t="s">
        <v>2195</v>
      </c>
      <c r="O269" s="46" t="str">
        <f>VLOOKUP(N269,Datos!$BJ$5:$BL$334,2,FALSE)</f>
        <v>ESPECIE</v>
      </c>
      <c r="P269" s="46" t="str">
        <f>VLOOKUP(N269,Datos!$BJ$5:$BL$334,3,FALSE)</f>
        <v>SUBESPECIE</v>
      </c>
      <c r="Q269" s="22"/>
      <c r="R269" s="65"/>
      <c r="S269" s="65"/>
      <c r="T269" s="65"/>
      <c r="U269" s="45"/>
    </row>
    <row r="270" spans="1:21" hidden="1">
      <c r="A270" s="58">
        <v>389</v>
      </c>
      <c r="B270" s="61"/>
      <c r="C270" s="49" t="s">
        <v>2492</v>
      </c>
      <c r="D270" s="49" t="s">
        <v>2492</v>
      </c>
      <c r="E270" s="64" t="s">
        <v>2492</v>
      </c>
      <c r="F270" s="22"/>
      <c r="G270" s="22"/>
      <c r="H270" s="22"/>
      <c r="I270" s="22"/>
      <c r="J270" s="22"/>
      <c r="K270" s="95"/>
      <c r="L270" s="50"/>
      <c r="M270" s="22"/>
      <c r="N270" s="22" t="s">
        <v>2195</v>
      </c>
      <c r="O270" s="46" t="str">
        <f>VLOOKUP(N270,Datos!$BJ$5:$BL$334,2,FALSE)</f>
        <v>ESPECIE</v>
      </c>
      <c r="P270" s="46" t="str">
        <f>VLOOKUP(N270,Datos!$BJ$5:$BL$334,3,FALSE)</f>
        <v>SUBESPECIE</v>
      </c>
      <c r="Q270" s="22"/>
      <c r="R270" s="65"/>
      <c r="S270" s="65"/>
      <c r="T270" s="65"/>
      <c r="U270" s="45"/>
    </row>
    <row r="271" spans="1:21" hidden="1">
      <c r="A271" s="58">
        <v>390</v>
      </c>
      <c r="B271" s="61"/>
      <c r="C271" s="49" t="s">
        <v>2492</v>
      </c>
      <c r="D271" s="49" t="s">
        <v>2492</v>
      </c>
      <c r="E271" s="64" t="s">
        <v>2492</v>
      </c>
      <c r="F271" s="22"/>
      <c r="G271" s="22"/>
      <c r="H271" s="22"/>
      <c r="I271" s="22"/>
      <c r="J271" s="22"/>
      <c r="K271" s="95"/>
      <c r="L271" s="50"/>
      <c r="M271" s="22"/>
      <c r="N271" s="22" t="s">
        <v>2195</v>
      </c>
      <c r="O271" s="46" t="str">
        <f>VLOOKUP(N271,Datos!$BJ$5:$BL$334,2,FALSE)</f>
        <v>ESPECIE</v>
      </c>
      <c r="P271" s="46" t="str">
        <f>VLOOKUP(N271,Datos!$BJ$5:$BL$334,3,FALSE)</f>
        <v>SUBESPECIE</v>
      </c>
      <c r="Q271" s="22"/>
      <c r="R271" s="65"/>
      <c r="S271" s="65"/>
      <c r="T271" s="65"/>
      <c r="U271" s="45"/>
    </row>
    <row r="272" spans="1:21" hidden="1">
      <c r="A272" s="58">
        <v>391</v>
      </c>
      <c r="B272" s="61"/>
      <c r="C272" s="49" t="s">
        <v>2492</v>
      </c>
      <c r="D272" s="49" t="s">
        <v>2492</v>
      </c>
      <c r="E272" s="64" t="s">
        <v>2492</v>
      </c>
      <c r="F272" s="22"/>
      <c r="G272" s="22"/>
      <c r="H272" s="22"/>
      <c r="I272" s="22"/>
      <c r="J272" s="22"/>
      <c r="K272" s="95"/>
      <c r="L272" s="50"/>
      <c r="M272" s="22"/>
      <c r="N272" s="22" t="s">
        <v>2195</v>
      </c>
      <c r="O272" s="46" t="str">
        <f>VLOOKUP(N272,Datos!$BJ$5:$BL$334,2,FALSE)</f>
        <v>ESPECIE</v>
      </c>
      <c r="P272" s="46" t="str">
        <f>VLOOKUP(N272,Datos!$BJ$5:$BL$334,3,FALSE)</f>
        <v>SUBESPECIE</v>
      </c>
      <c r="Q272" s="22"/>
      <c r="R272" s="65"/>
      <c r="S272" s="65"/>
      <c r="T272" s="65"/>
      <c r="U272" s="45"/>
    </row>
    <row r="273" spans="1:21" hidden="1">
      <c r="A273" s="58">
        <v>392</v>
      </c>
      <c r="B273" s="61"/>
      <c r="C273" s="49" t="s">
        <v>2492</v>
      </c>
      <c r="D273" s="49" t="s">
        <v>2492</v>
      </c>
      <c r="E273" s="64" t="s">
        <v>2492</v>
      </c>
      <c r="F273" s="22"/>
      <c r="G273" s="22"/>
      <c r="H273" s="22"/>
      <c r="I273" s="22"/>
      <c r="J273" s="22"/>
      <c r="K273" s="95"/>
      <c r="L273" s="50"/>
      <c r="M273" s="22"/>
      <c r="N273" s="22" t="s">
        <v>2195</v>
      </c>
      <c r="O273" s="46" t="str">
        <f>VLOOKUP(N273,Datos!$BJ$5:$BL$334,2,FALSE)</f>
        <v>ESPECIE</v>
      </c>
      <c r="P273" s="46" t="str">
        <f>VLOOKUP(N273,Datos!$BJ$5:$BL$334,3,FALSE)</f>
        <v>SUBESPECIE</v>
      </c>
      <c r="Q273" s="22"/>
      <c r="R273" s="65"/>
      <c r="S273" s="65"/>
      <c r="T273" s="65"/>
      <c r="U273" s="45"/>
    </row>
    <row r="274" spans="1:21" hidden="1">
      <c r="A274" s="58">
        <v>393</v>
      </c>
      <c r="B274" s="61"/>
      <c r="C274" s="49" t="s">
        <v>2492</v>
      </c>
      <c r="D274" s="49" t="s">
        <v>2492</v>
      </c>
      <c r="E274" s="64" t="s">
        <v>2492</v>
      </c>
      <c r="F274" s="22"/>
      <c r="G274" s="22"/>
      <c r="H274" s="22"/>
      <c r="I274" s="22"/>
      <c r="J274" s="22"/>
      <c r="K274" s="95"/>
      <c r="L274" s="50"/>
      <c r="M274" s="22"/>
      <c r="N274" s="22" t="s">
        <v>2195</v>
      </c>
      <c r="O274" s="46" t="str">
        <f>VLOOKUP(N274,Datos!$BJ$5:$BL$334,2,FALSE)</f>
        <v>ESPECIE</v>
      </c>
      <c r="P274" s="46" t="str">
        <f>VLOOKUP(N274,Datos!$BJ$5:$BL$334,3,FALSE)</f>
        <v>SUBESPECIE</v>
      </c>
      <c r="Q274" s="22"/>
      <c r="R274" s="65"/>
      <c r="S274" s="65"/>
      <c r="T274" s="65"/>
      <c r="U274" s="45"/>
    </row>
    <row r="275" spans="1:21" hidden="1">
      <c r="A275" s="58">
        <v>394</v>
      </c>
      <c r="B275" s="61"/>
      <c r="C275" s="49" t="s">
        <v>2492</v>
      </c>
      <c r="D275" s="49" t="s">
        <v>2492</v>
      </c>
      <c r="E275" s="64" t="s">
        <v>2492</v>
      </c>
      <c r="F275" s="22"/>
      <c r="G275" s="22"/>
      <c r="H275" s="22"/>
      <c r="I275" s="22"/>
      <c r="J275" s="22"/>
      <c r="K275" s="95"/>
      <c r="L275" s="50"/>
      <c r="M275" s="22"/>
      <c r="N275" s="22" t="s">
        <v>2195</v>
      </c>
      <c r="O275" s="46" t="str">
        <f>VLOOKUP(N275,Datos!$BJ$5:$BL$334,2,FALSE)</f>
        <v>ESPECIE</v>
      </c>
      <c r="P275" s="46" t="str">
        <f>VLOOKUP(N275,Datos!$BJ$5:$BL$334,3,FALSE)</f>
        <v>SUBESPECIE</v>
      </c>
      <c r="Q275" s="22"/>
      <c r="R275" s="65"/>
      <c r="S275" s="65"/>
      <c r="T275" s="65"/>
      <c r="U275" s="45"/>
    </row>
    <row r="276" spans="1:21" hidden="1">
      <c r="A276" s="58">
        <v>395</v>
      </c>
      <c r="B276" s="61"/>
      <c r="C276" s="49" t="s">
        <v>2492</v>
      </c>
      <c r="D276" s="49" t="s">
        <v>2492</v>
      </c>
      <c r="E276" s="64" t="s">
        <v>2492</v>
      </c>
      <c r="F276" s="22"/>
      <c r="G276" s="22"/>
      <c r="H276" s="22"/>
      <c r="I276" s="22"/>
      <c r="J276" s="22"/>
      <c r="K276" s="95"/>
      <c r="L276" s="50"/>
      <c r="M276" s="22"/>
      <c r="N276" s="22" t="s">
        <v>2195</v>
      </c>
      <c r="O276" s="46" t="str">
        <f>VLOOKUP(N276,Datos!$BJ$5:$BL$334,2,FALSE)</f>
        <v>ESPECIE</v>
      </c>
      <c r="P276" s="46" t="str">
        <f>VLOOKUP(N276,Datos!$BJ$5:$BL$334,3,FALSE)</f>
        <v>SUBESPECIE</v>
      </c>
      <c r="Q276" s="22"/>
      <c r="R276" s="65"/>
      <c r="S276" s="65"/>
      <c r="T276" s="65"/>
      <c r="U276" s="45"/>
    </row>
    <row r="277" spans="1:21" hidden="1">
      <c r="A277" s="58">
        <v>396</v>
      </c>
      <c r="B277" s="61"/>
      <c r="C277" s="49" t="s">
        <v>2492</v>
      </c>
      <c r="D277" s="49" t="s">
        <v>2492</v>
      </c>
      <c r="E277" s="64" t="s">
        <v>2492</v>
      </c>
      <c r="F277" s="22"/>
      <c r="G277" s="22"/>
      <c r="H277" s="22"/>
      <c r="I277" s="22"/>
      <c r="J277" s="22"/>
      <c r="K277" s="95"/>
      <c r="L277" s="50"/>
      <c r="M277" s="22"/>
      <c r="N277" s="22" t="s">
        <v>2195</v>
      </c>
      <c r="O277" s="46" t="str">
        <f>VLOOKUP(N277,Datos!$BJ$5:$BL$334,2,FALSE)</f>
        <v>ESPECIE</v>
      </c>
      <c r="P277" s="46" t="str">
        <f>VLOOKUP(N277,Datos!$BJ$5:$BL$334,3,FALSE)</f>
        <v>SUBESPECIE</v>
      </c>
      <c r="Q277" s="22"/>
      <c r="R277" s="65"/>
      <c r="S277" s="65"/>
      <c r="T277" s="65"/>
      <c r="U277" s="45"/>
    </row>
    <row r="278" spans="1:21" hidden="1">
      <c r="A278" s="58">
        <v>397</v>
      </c>
      <c r="B278" s="61"/>
      <c r="C278" s="49" t="s">
        <v>2492</v>
      </c>
      <c r="D278" s="49" t="s">
        <v>2492</v>
      </c>
      <c r="E278" s="64" t="s">
        <v>2492</v>
      </c>
      <c r="F278" s="22"/>
      <c r="G278" s="22"/>
      <c r="H278" s="22"/>
      <c r="I278" s="22"/>
      <c r="J278" s="22"/>
      <c r="K278" s="95"/>
      <c r="L278" s="50"/>
      <c r="M278" s="22"/>
      <c r="N278" s="22" t="s">
        <v>2195</v>
      </c>
      <c r="O278" s="46" t="str">
        <f>VLOOKUP(N278,Datos!$BJ$5:$BL$334,2,FALSE)</f>
        <v>ESPECIE</v>
      </c>
      <c r="P278" s="46" t="str">
        <f>VLOOKUP(N278,Datos!$BJ$5:$BL$334,3,FALSE)</f>
        <v>SUBESPECIE</v>
      </c>
      <c r="Q278" s="22"/>
      <c r="R278" s="65"/>
      <c r="S278" s="65"/>
      <c r="T278" s="65"/>
      <c r="U278" s="45"/>
    </row>
    <row r="279" spans="1:21" hidden="1">
      <c r="A279" s="58">
        <v>398</v>
      </c>
      <c r="B279" s="61"/>
      <c r="C279" s="49" t="s">
        <v>2492</v>
      </c>
      <c r="D279" s="49" t="s">
        <v>2492</v>
      </c>
      <c r="E279" s="64" t="s">
        <v>2492</v>
      </c>
      <c r="F279" s="22"/>
      <c r="G279" s="22"/>
      <c r="H279" s="22"/>
      <c r="I279" s="22"/>
      <c r="J279" s="22"/>
      <c r="K279" s="95"/>
      <c r="L279" s="50"/>
      <c r="M279" s="22"/>
      <c r="N279" s="22" t="s">
        <v>2195</v>
      </c>
      <c r="O279" s="46" t="str">
        <f>VLOOKUP(N279,Datos!$BJ$5:$BL$334,2,FALSE)</f>
        <v>ESPECIE</v>
      </c>
      <c r="P279" s="46" t="str">
        <f>VLOOKUP(N279,Datos!$BJ$5:$BL$334,3,FALSE)</f>
        <v>SUBESPECIE</v>
      </c>
      <c r="Q279" s="22"/>
      <c r="R279" s="65"/>
      <c r="S279" s="65"/>
      <c r="T279" s="65"/>
      <c r="U279" s="45"/>
    </row>
    <row r="280" spans="1:21" hidden="1">
      <c r="A280" s="58">
        <v>399</v>
      </c>
      <c r="B280" s="61"/>
      <c r="C280" s="49" t="s">
        <v>2492</v>
      </c>
      <c r="D280" s="49" t="s">
        <v>2492</v>
      </c>
      <c r="E280" s="64" t="s">
        <v>2492</v>
      </c>
      <c r="F280" s="22"/>
      <c r="G280" s="22"/>
      <c r="H280" s="22"/>
      <c r="I280" s="22"/>
      <c r="J280" s="22"/>
      <c r="K280" s="95"/>
      <c r="L280" s="50"/>
      <c r="M280" s="22"/>
      <c r="N280" s="22" t="s">
        <v>2195</v>
      </c>
      <c r="O280" s="46" t="str">
        <f>VLOOKUP(N280,Datos!$BJ$5:$BL$334,2,FALSE)</f>
        <v>ESPECIE</v>
      </c>
      <c r="P280" s="46" t="str">
        <f>VLOOKUP(N280,Datos!$BJ$5:$BL$334,3,FALSE)</f>
        <v>SUBESPECIE</v>
      </c>
      <c r="Q280" s="22"/>
      <c r="R280" s="65"/>
      <c r="S280" s="65"/>
      <c r="T280" s="65"/>
      <c r="U280" s="45"/>
    </row>
    <row r="281" spans="1:21" hidden="1">
      <c r="A281" s="58">
        <v>400</v>
      </c>
      <c r="B281" s="61"/>
      <c r="C281" s="49" t="s">
        <v>2492</v>
      </c>
      <c r="D281" s="49" t="s">
        <v>2492</v>
      </c>
      <c r="E281" s="64" t="s">
        <v>2492</v>
      </c>
      <c r="F281" s="22"/>
      <c r="G281" s="22"/>
      <c r="H281" s="22"/>
      <c r="I281" s="22"/>
      <c r="J281" s="22"/>
      <c r="K281" s="95"/>
      <c r="L281" s="50"/>
      <c r="M281" s="22"/>
      <c r="N281" s="22" t="s">
        <v>2195</v>
      </c>
      <c r="O281" s="46" t="str">
        <f>VLOOKUP(N281,Datos!$BJ$5:$BL$334,2,FALSE)</f>
        <v>ESPECIE</v>
      </c>
      <c r="P281" s="46" t="str">
        <f>VLOOKUP(N281,Datos!$BJ$5:$BL$334,3,FALSE)</f>
        <v>SUBESPECIE</v>
      </c>
      <c r="Q281" s="22"/>
      <c r="R281" s="65"/>
      <c r="S281" s="65"/>
      <c r="T281" s="65"/>
      <c r="U281" s="45"/>
    </row>
    <row r="282" spans="1:21" hidden="1">
      <c r="A282" s="58">
        <v>401</v>
      </c>
      <c r="B282" s="61"/>
      <c r="C282" s="49" t="s">
        <v>2492</v>
      </c>
      <c r="D282" s="49" t="s">
        <v>2492</v>
      </c>
      <c r="E282" s="64" t="s">
        <v>2492</v>
      </c>
      <c r="F282" s="22"/>
      <c r="G282" s="22"/>
      <c r="H282" s="22"/>
      <c r="I282" s="22"/>
      <c r="J282" s="22"/>
      <c r="K282" s="95"/>
      <c r="L282" s="50"/>
      <c r="M282" s="22"/>
      <c r="N282" s="22" t="s">
        <v>2195</v>
      </c>
      <c r="O282" s="46" t="str">
        <f>VLOOKUP(N282,Datos!$BJ$5:$BL$334,2,FALSE)</f>
        <v>ESPECIE</v>
      </c>
      <c r="P282" s="46" t="str">
        <f>VLOOKUP(N282,Datos!$BJ$5:$BL$334,3,FALSE)</f>
        <v>SUBESPECIE</v>
      </c>
      <c r="Q282" s="22"/>
      <c r="R282" s="65"/>
      <c r="S282" s="65"/>
      <c r="T282" s="65"/>
      <c r="U282" s="45"/>
    </row>
    <row r="283" spans="1:21" hidden="1">
      <c r="A283" s="58">
        <v>402</v>
      </c>
      <c r="B283" s="61"/>
      <c r="C283" s="49" t="s">
        <v>2492</v>
      </c>
      <c r="D283" s="49" t="s">
        <v>2492</v>
      </c>
      <c r="E283" s="64" t="s">
        <v>2492</v>
      </c>
      <c r="F283" s="22"/>
      <c r="G283" s="22"/>
      <c r="H283" s="22"/>
      <c r="I283" s="22"/>
      <c r="J283" s="22"/>
      <c r="K283" s="95"/>
      <c r="L283" s="50"/>
      <c r="M283" s="22"/>
      <c r="N283" s="22" t="s">
        <v>2195</v>
      </c>
      <c r="O283" s="46" t="str">
        <f>VLOOKUP(N283,Datos!$BJ$5:$BL$334,2,FALSE)</f>
        <v>ESPECIE</v>
      </c>
      <c r="P283" s="46" t="str">
        <f>VLOOKUP(N283,Datos!$BJ$5:$BL$334,3,FALSE)</f>
        <v>SUBESPECIE</v>
      </c>
      <c r="Q283" s="22"/>
      <c r="R283" s="65"/>
      <c r="S283" s="65"/>
      <c r="T283" s="65"/>
      <c r="U283" s="45"/>
    </row>
    <row r="284" spans="1:21" hidden="1">
      <c r="A284" s="58">
        <v>403</v>
      </c>
      <c r="B284" s="61"/>
      <c r="C284" s="49" t="s">
        <v>2492</v>
      </c>
      <c r="D284" s="49" t="s">
        <v>2492</v>
      </c>
      <c r="E284" s="64" t="s">
        <v>2492</v>
      </c>
      <c r="F284" s="22"/>
      <c r="G284" s="22"/>
      <c r="H284" s="22"/>
      <c r="I284" s="22"/>
      <c r="J284" s="22"/>
      <c r="K284" s="95"/>
      <c r="L284" s="50"/>
      <c r="M284" s="22"/>
      <c r="N284" s="22" t="s">
        <v>2195</v>
      </c>
      <c r="O284" s="46" t="str">
        <f>VLOOKUP(N284,Datos!$BJ$5:$BL$334,2,FALSE)</f>
        <v>ESPECIE</v>
      </c>
      <c r="P284" s="46" t="str">
        <f>VLOOKUP(N284,Datos!$BJ$5:$BL$334,3,FALSE)</f>
        <v>SUBESPECIE</v>
      </c>
      <c r="Q284" s="22"/>
      <c r="R284" s="65"/>
      <c r="S284" s="65"/>
      <c r="T284" s="65"/>
      <c r="U284" s="45"/>
    </row>
    <row r="285" spans="1:21" hidden="1">
      <c r="A285" s="58">
        <v>404</v>
      </c>
      <c r="B285" s="61"/>
      <c r="C285" s="49" t="s">
        <v>2492</v>
      </c>
      <c r="D285" s="49" t="s">
        <v>2492</v>
      </c>
      <c r="E285" s="64" t="s">
        <v>2492</v>
      </c>
      <c r="F285" s="22"/>
      <c r="G285" s="22"/>
      <c r="H285" s="22"/>
      <c r="I285" s="22"/>
      <c r="J285" s="22"/>
      <c r="K285" s="95"/>
      <c r="L285" s="50"/>
      <c r="M285" s="22"/>
      <c r="N285" s="22" t="s">
        <v>2195</v>
      </c>
      <c r="O285" s="46" t="str">
        <f>VLOOKUP(N285,Datos!$BJ$5:$BL$334,2,FALSE)</f>
        <v>ESPECIE</v>
      </c>
      <c r="P285" s="46" t="str">
        <f>VLOOKUP(N285,Datos!$BJ$5:$BL$334,3,FALSE)</f>
        <v>SUBESPECIE</v>
      </c>
      <c r="Q285" s="22"/>
      <c r="R285" s="65"/>
      <c r="S285" s="65"/>
      <c r="T285" s="65"/>
      <c r="U285" s="45"/>
    </row>
    <row r="286" spans="1:21" hidden="1">
      <c r="A286" s="58">
        <v>405</v>
      </c>
      <c r="B286" s="61"/>
      <c r="C286" s="49" t="s">
        <v>2492</v>
      </c>
      <c r="D286" s="49" t="s">
        <v>2492</v>
      </c>
      <c r="E286" s="64" t="s">
        <v>2492</v>
      </c>
      <c r="F286" s="22"/>
      <c r="G286" s="22"/>
      <c r="H286" s="22"/>
      <c r="I286" s="22"/>
      <c r="J286" s="22"/>
      <c r="K286" s="95"/>
      <c r="L286" s="50"/>
      <c r="M286" s="22"/>
      <c r="N286" s="22" t="s">
        <v>2195</v>
      </c>
      <c r="O286" s="46" t="str">
        <f>VLOOKUP(N286,Datos!$BJ$5:$BL$334,2,FALSE)</f>
        <v>ESPECIE</v>
      </c>
      <c r="P286" s="46" t="str">
        <f>VLOOKUP(N286,Datos!$BJ$5:$BL$334,3,FALSE)</f>
        <v>SUBESPECIE</v>
      </c>
      <c r="Q286" s="22"/>
      <c r="R286" s="65"/>
      <c r="S286" s="65"/>
      <c r="T286" s="65"/>
      <c r="U286" s="45"/>
    </row>
    <row r="287" spans="1:21" hidden="1">
      <c r="A287" s="58">
        <v>406</v>
      </c>
      <c r="B287" s="61"/>
      <c r="C287" s="49" t="s">
        <v>2492</v>
      </c>
      <c r="D287" s="49" t="s">
        <v>2492</v>
      </c>
      <c r="E287" s="64" t="s">
        <v>2492</v>
      </c>
      <c r="F287" s="22"/>
      <c r="G287" s="22"/>
      <c r="H287" s="22"/>
      <c r="I287" s="22"/>
      <c r="J287" s="22"/>
      <c r="K287" s="95"/>
      <c r="L287" s="50"/>
      <c r="M287" s="22"/>
      <c r="N287" s="22" t="s">
        <v>2195</v>
      </c>
      <c r="O287" s="46" t="str">
        <f>VLOOKUP(N287,Datos!$BJ$5:$BL$334,2,FALSE)</f>
        <v>ESPECIE</v>
      </c>
      <c r="P287" s="46" t="str">
        <f>VLOOKUP(N287,Datos!$BJ$5:$BL$334,3,FALSE)</f>
        <v>SUBESPECIE</v>
      </c>
      <c r="Q287" s="22"/>
      <c r="R287" s="65"/>
      <c r="S287" s="65"/>
      <c r="T287" s="65"/>
      <c r="U287" s="45"/>
    </row>
    <row r="288" spans="1:21" hidden="1">
      <c r="A288" s="58">
        <v>407</v>
      </c>
      <c r="B288" s="61"/>
      <c r="C288" s="49" t="s">
        <v>2492</v>
      </c>
      <c r="D288" s="49" t="s">
        <v>2492</v>
      </c>
      <c r="E288" s="64" t="s">
        <v>2492</v>
      </c>
      <c r="F288" s="22"/>
      <c r="G288" s="22"/>
      <c r="H288" s="22"/>
      <c r="I288" s="22"/>
      <c r="J288" s="22"/>
      <c r="K288" s="95"/>
      <c r="L288" s="50"/>
      <c r="M288" s="22"/>
      <c r="N288" s="22" t="s">
        <v>2195</v>
      </c>
      <c r="O288" s="46" t="str">
        <f>VLOOKUP(N288,Datos!$BJ$5:$BL$334,2,FALSE)</f>
        <v>ESPECIE</v>
      </c>
      <c r="P288" s="46" t="str">
        <f>VLOOKUP(N288,Datos!$BJ$5:$BL$334,3,FALSE)</f>
        <v>SUBESPECIE</v>
      </c>
      <c r="Q288" s="22"/>
      <c r="R288" s="65"/>
      <c r="S288" s="65"/>
      <c r="T288" s="65"/>
      <c r="U288" s="45"/>
    </row>
    <row r="289" spans="1:21" hidden="1">
      <c r="A289" s="58">
        <v>408</v>
      </c>
      <c r="B289" s="61"/>
      <c r="C289" s="49" t="s">
        <v>2492</v>
      </c>
      <c r="D289" s="49" t="s">
        <v>2492</v>
      </c>
      <c r="E289" s="64" t="s">
        <v>2492</v>
      </c>
      <c r="F289" s="22"/>
      <c r="G289" s="22"/>
      <c r="H289" s="22"/>
      <c r="I289" s="22"/>
      <c r="J289" s="22"/>
      <c r="K289" s="95"/>
      <c r="L289" s="50"/>
      <c r="M289" s="22"/>
      <c r="N289" s="22" t="s">
        <v>2195</v>
      </c>
      <c r="O289" s="46" t="str">
        <f>VLOOKUP(N289,Datos!$BJ$5:$BL$334,2,FALSE)</f>
        <v>ESPECIE</v>
      </c>
      <c r="P289" s="46" t="str">
        <f>VLOOKUP(N289,Datos!$BJ$5:$BL$334,3,FALSE)</f>
        <v>SUBESPECIE</v>
      </c>
      <c r="Q289" s="22"/>
      <c r="R289" s="65"/>
      <c r="S289" s="65"/>
      <c r="T289" s="65"/>
      <c r="U289" s="45"/>
    </row>
    <row r="290" spans="1:21" hidden="1">
      <c r="A290" s="58">
        <v>409</v>
      </c>
      <c r="B290" s="61"/>
      <c r="C290" s="49" t="s">
        <v>2492</v>
      </c>
      <c r="D290" s="49" t="s">
        <v>2492</v>
      </c>
      <c r="E290" s="64" t="s">
        <v>2492</v>
      </c>
      <c r="F290" s="22"/>
      <c r="G290" s="22"/>
      <c r="H290" s="22"/>
      <c r="I290" s="22"/>
      <c r="J290" s="22"/>
      <c r="K290" s="95"/>
      <c r="L290" s="50"/>
      <c r="M290" s="22"/>
      <c r="N290" s="22" t="s">
        <v>2195</v>
      </c>
      <c r="O290" s="46" t="str">
        <f>VLOOKUP(N290,Datos!$BJ$5:$BL$334,2,FALSE)</f>
        <v>ESPECIE</v>
      </c>
      <c r="P290" s="46" t="str">
        <f>VLOOKUP(N290,Datos!$BJ$5:$BL$334,3,FALSE)</f>
        <v>SUBESPECIE</v>
      </c>
      <c r="Q290" s="22"/>
      <c r="R290" s="65"/>
      <c r="S290" s="65"/>
      <c r="T290" s="65"/>
      <c r="U290" s="45"/>
    </row>
    <row r="291" spans="1:21" hidden="1">
      <c r="A291" s="58">
        <v>410</v>
      </c>
      <c r="B291" s="61"/>
      <c r="C291" s="49" t="s">
        <v>2492</v>
      </c>
      <c r="D291" s="49" t="s">
        <v>2492</v>
      </c>
      <c r="E291" s="64" t="s">
        <v>2492</v>
      </c>
      <c r="F291" s="22"/>
      <c r="G291" s="22"/>
      <c r="H291" s="22"/>
      <c r="I291" s="22"/>
      <c r="J291" s="22"/>
      <c r="K291" s="95"/>
      <c r="L291" s="50"/>
      <c r="M291" s="22"/>
      <c r="N291" s="22" t="s">
        <v>2195</v>
      </c>
      <c r="O291" s="46" t="str">
        <f>VLOOKUP(N291,Datos!$BJ$5:$BL$334,2,FALSE)</f>
        <v>ESPECIE</v>
      </c>
      <c r="P291" s="46" t="str">
        <f>VLOOKUP(N291,Datos!$BJ$5:$BL$334,3,FALSE)</f>
        <v>SUBESPECIE</v>
      </c>
      <c r="Q291" s="22"/>
      <c r="R291" s="65"/>
      <c r="S291" s="65"/>
      <c r="T291" s="65"/>
      <c r="U291" s="45"/>
    </row>
    <row r="292" spans="1:21" hidden="1">
      <c r="A292" s="58">
        <v>411</v>
      </c>
      <c r="B292" s="61"/>
      <c r="C292" s="49" t="s">
        <v>2492</v>
      </c>
      <c r="D292" s="49" t="s">
        <v>2492</v>
      </c>
      <c r="E292" s="64" t="s">
        <v>2492</v>
      </c>
      <c r="F292" s="22"/>
      <c r="G292" s="22"/>
      <c r="H292" s="22"/>
      <c r="I292" s="22"/>
      <c r="J292" s="22"/>
      <c r="K292" s="95"/>
      <c r="L292" s="50"/>
      <c r="M292" s="22"/>
      <c r="N292" s="22" t="s">
        <v>2195</v>
      </c>
      <c r="O292" s="46" t="str">
        <f>VLOOKUP(N292,Datos!$BJ$5:$BL$334,2,FALSE)</f>
        <v>ESPECIE</v>
      </c>
      <c r="P292" s="46" t="str">
        <f>VLOOKUP(N292,Datos!$BJ$5:$BL$334,3,FALSE)</f>
        <v>SUBESPECIE</v>
      </c>
      <c r="Q292" s="22"/>
      <c r="R292" s="65"/>
      <c r="S292" s="65"/>
      <c r="T292" s="65"/>
      <c r="U292" s="45"/>
    </row>
    <row r="293" spans="1:21" hidden="1">
      <c r="A293" s="58">
        <v>412</v>
      </c>
      <c r="B293" s="61"/>
      <c r="C293" s="49" t="s">
        <v>2492</v>
      </c>
      <c r="D293" s="49" t="s">
        <v>2492</v>
      </c>
      <c r="E293" s="64" t="s">
        <v>2492</v>
      </c>
      <c r="F293" s="22"/>
      <c r="G293" s="22"/>
      <c r="H293" s="22"/>
      <c r="I293" s="22"/>
      <c r="J293" s="22"/>
      <c r="K293" s="95"/>
      <c r="L293" s="50"/>
      <c r="M293" s="22"/>
      <c r="N293" s="22" t="s">
        <v>2195</v>
      </c>
      <c r="O293" s="46" t="str">
        <f>VLOOKUP(N293,Datos!$BJ$5:$BL$334,2,FALSE)</f>
        <v>ESPECIE</v>
      </c>
      <c r="P293" s="46" t="str">
        <f>VLOOKUP(N293,Datos!$BJ$5:$BL$334,3,FALSE)</f>
        <v>SUBESPECIE</v>
      </c>
      <c r="Q293" s="22"/>
      <c r="R293" s="65"/>
      <c r="S293" s="65"/>
      <c r="T293" s="65"/>
      <c r="U293" s="45"/>
    </row>
    <row r="294" spans="1:21" hidden="1">
      <c r="A294" s="58">
        <v>413</v>
      </c>
      <c r="B294" s="61"/>
      <c r="C294" s="49" t="s">
        <v>2492</v>
      </c>
      <c r="D294" s="49" t="s">
        <v>2492</v>
      </c>
      <c r="E294" s="64" t="s">
        <v>2492</v>
      </c>
      <c r="F294" s="22"/>
      <c r="G294" s="22"/>
      <c r="H294" s="22"/>
      <c r="I294" s="22"/>
      <c r="J294" s="22"/>
      <c r="K294" s="95"/>
      <c r="L294" s="50"/>
      <c r="M294" s="22"/>
      <c r="N294" s="22" t="s">
        <v>2195</v>
      </c>
      <c r="O294" s="46" t="str">
        <f>VLOOKUP(N294,Datos!$BJ$5:$BL$334,2,FALSE)</f>
        <v>ESPECIE</v>
      </c>
      <c r="P294" s="46" t="str">
        <f>VLOOKUP(N294,Datos!$BJ$5:$BL$334,3,FALSE)</f>
        <v>SUBESPECIE</v>
      </c>
      <c r="Q294" s="22"/>
      <c r="R294" s="65"/>
      <c r="S294" s="65"/>
      <c r="T294" s="65"/>
      <c r="U294" s="45"/>
    </row>
    <row r="295" spans="1:21" hidden="1">
      <c r="A295" s="58">
        <v>414</v>
      </c>
      <c r="B295" s="61"/>
      <c r="C295" s="49" t="s">
        <v>2492</v>
      </c>
      <c r="D295" s="49" t="s">
        <v>2492</v>
      </c>
      <c r="E295" s="64" t="s">
        <v>2492</v>
      </c>
      <c r="F295" s="22"/>
      <c r="G295" s="22"/>
      <c r="H295" s="22"/>
      <c r="I295" s="22"/>
      <c r="J295" s="22"/>
      <c r="K295" s="95"/>
      <c r="L295" s="50"/>
      <c r="M295" s="22"/>
      <c r="N295" s="22" t="s">
        <v>2195</v>
      </c>
      <c r="O295" s="46" t="str">
        <f>VLOOKUP(N295,Datos!$BJ$5:$BL$334,2,FALSE)</f>
        <v>ESPECIE</v>
      </c>
      <c r="P295" s="46" t="str">
        <f>VLOOKUP(N295,Datos!$BJ$5:$BL$334,3,FALSE)</f>
        <v>SUBESPECIE</v>
      </c>
      <c r="Q295" s="22"/>
      <c r="R295" s="65"/>
      <c r="S295" s="65"/>
      <c r="T295" s="65"/>
      <c r="U295" s="45"/>
    </row>
    <row r="296" spans="1:21" hidden="1">
      <c r="A296" s="58">
        <v>415</v>
      </c>
      <c r="B296" s="61"/>
      <c r="C296" s="49" t="s">
        <v>2492</v>
      </c>
      <c r="D296" s="49" t="s">
        <v>2492</v>
      </c>
      <c r="E296" s="64" t="s">
        <v>2492</v>
      </c>
      <c r="F296" s="22"/>
      <c r="G296" s="22"/>
      <c r="H296" s="22"/>
      <c r="I296" s="22"/>
      <c r="J296" s="22"/>
      <c r="K296" s="95"/>
      <c r="L296" s="50"/>
      <c r="M296" s="22"/>
      <c r="N296" s="22" t="s">
        <v>2195</v>
      </c>
      <c r="O296" s="46" t="str">
        <f>VLOOKUP(N296,Datos!$BJ$5:$BL$334,2,FALSE)</f>
        <v>ESPECIE</v>
      </c>
      <c r="P296" s="46" t="str">
        <f>VLOOKUP(N296,Datos!$BJ$5:$BL$334,3,FALSE)</f>
        <v>SUBESPECIE</v>
      </c>
      <c r="Q296" s="22"/>
      <c r="R296" s="65"/>
      <c r="S296" s="65"/>
      <c r="T296" s="65"/>
      <c r="U296" s="45"/>
    </row>
    <row r="297" spans="1:21" hidden="1">
      <c r="A297" s="58">
        <v>416</v>
      </c>
      <c r="B297" s="61"/>
      <c r="C297" s="49" t="s">
        <v>2492</v>
      </c>
      <c r="D297" s="49" t="s">
        <v>2492</v>
      </c>
      <c r="E297" s="64" t="s">
        <v>2492</v>
      </c>
      <c r="F297" s="22"/>
      <c r="G297" s="22"/>
      <c r="H297" s="22"/>
      <c r="I297" s="22"/>
      <c r="J297" s="22"/>
      <c r="K297" s="95"/>
      <c r="L297" s="50"/>
      <c r="M297" s="22"/>
      <c r="N297" s="22" t="s">
        <v>2195</v>
      </c>
      <c r="O297" s="46" t="str">
        <f>VLOOKUP(N297,Datos!$BJ$5:$BL$334,2,FALSE)</f>
        <v>ESPECIE</v>
      </c>
      <c r="P297" s="46" t="str">
        <f>VLOOKUP(N297,Datos!$BJ$5:$BL$334,3,FALSE)</f>
        <v>SUBESPECIE</v>
      </c>
      <c r="Q297" s="22"/>
      <c r="R297" s="65"/>
      <c r="S297" s="65"/>
      <c r="T297" s="65"/>
      <c r="U297" s="45"/>
    </row>
    <row r="298" spans="1:21" hidden="1">
      <c r="A298" s="58">
        <v>417</v>
      </c>
      <c r="B298" s="61"/>
      <c r="C298" s="49" t="s">
        <v>2492</v>
      </c>
      <c r="D298" s="49" t="s">
        <v>2492</v>
      </c>
      <c r="E298" s="64" t="s">
        <v>2492</v>
      </c>
      <c r="F298" s="22"/>
      <c r="G298" s="22"/>
      <c r="H298" s="22"/>
      <c r="I298" s="22"/>
      <c r="J298" s="22"/>
      <c r="K298" s="95"/>
      <c r="L298" s="50"/>
      <c r="M298" s="22"/>
      <c r="N298" s="22" t="s">
        <v>2195</v>
      </c>
      <c r="O298" s="46" t="str">
        <f>VLOOKUP(N298,Datos!$BJ$5:$BL$334,2,FALSE)</f>
        <v>ESPECIE</v>
      </c>
      <c r="P298" s="46" t="str">
        <f>VLOOKUP(N298,Datos!$BJ$5:$BL$334,3,FALSE)</f>
        <v>SUBESPECIE</v>
      </c>
      <c r="Q298" s="22"/>
      <c r="R298" s="65"/>
      <c r="S298" s="65"/>
      <c r="T298" s="65"/>
      <c r="U298" s="45"/>
    </row>
    <row r="299" spans="1:21" hidden="1">
      <c r="A299" s="58">
        <v>418</v>
      </c>
      <c r="B299" s="61"/>
      <c r="C299" s="49" t="s">
        <v>2492</v>
      </c>
      <c r="D299" s="49" t="s">
        <v>2492</v>
      </c>
      <c r="E299" s="64" t="s">
        <v>2492</v>
      </c>
      <c r="F299" s="22"/>
      <c r="G299" s="22"/>
      <c r="H299" s="22"/>
      <c r="I299" s="22"/>
      <c r="J299" s="22"/>
      <c r="K299" s="95"/>
      <c r="L299" s="50"/>
      <c r="M299" s="22"/>
      <c r="N299" s="22" t="s">
        <v>2195</v>
      </c>
      <c r="O299" s="46" t="str">
        <f>VLOOKUP(N299,Datos!$BJ$5:$BL$334,2,FALSE)</f>
        <v>ESPECIE</v>
      </c>
      <c r="P299" s="46" t="str">
        <f>VLOOKUP(N299,Datos!$BJ$5:$BL$334,3,FALSE)</f>
        <v>SUBESPECIE</v>
      </c>
      <c r="Q299" s="22"/>
      <c r="R299" s="65"/>
      <c r="S299" s="65"/>
      <c r="T299" s="65"/>
      <c r="U299" s="45"/>
    </row>
    <row r="300" spans="1:21" hidden="1">
      <c r="A300" s="58">
        <v>419</v>
      </c>
      <c r="B300" s="61"/>
      <c r="C300" s="49" t="s">
        <v>2492</v>
      </c>
      <c r="D300" s="49" t="s">
        <v>2492</v>
      </c>
      <c r="E300" s="64" t="s">
        <v>2492</v>
      </c>
      <c r="F300" s="22"/>
      <c r="G300" s="22"/>
      <c r="H300" s="22"/>
      <c r="I300" s="22"/>
      <c r="J300" s="22"/>
      <c r="K300" s="95"/>
      <c r="L300" s="50"/>
      <c r="M300" s="22"/>
      <c r="N300" s="22" t="s">
        <v>2195</v>
      </c>
      <c r="O300" s="46" t="str">
        <f>VLOOKUP(N300,Datos!$BJ$5:$BL$334,2,FALSE)</f>
        <v>ESPECIE</v>
      </c>
      <c r="P300" s="46" t="str">
        <f>VLOOKUP(N300,Datos!$BJ$5:$BL$334,3,FALSE)</f>
        <v>SUBESPECIE</v>
      </c>
      <c r="Q300" s="22"/>
      <c r="R300" s="65"/>
      <c r="S300" s="65"/>
      <c r="T300" s="65"/>
      <c r="U300" s="45"/>
    </row>
    <row r="301" spans="1:21" hidden="1">
      <c r="A301" s="58">
        <v>420</v>
      </c>
      <c r="B301" s="61"/>
      <c r="C301" s="49" t="s">
        <v>2492</v>
      </c>
      <c r="D301" s="49" t="s">
        <v>2492</v>
      </c>
      <c r="E301" s="64" t="s">
        <v>2492</v>
      </c>
      <c r="F301" s="22"/>
      <c r="G301" s="22"/>
      <c r="H301" s="22"/>
      <c r="I301" s="22"/>
      <c r="J301" s="22"/>
      <c r="K301" s="95"/>
      <c r="L301" s="50"/>
      <c r="M301" s="22"/>
      <c r="N301" s="22" t="s">
        <v>2195</v>
      </c>
      <c r="O301" s="46" t="str">
        <f>VLOOKUP(N301,Datos!$BJ$5:$BL$334,2,FALSE)</f>
        <v>ESPECIE</v>
      </c>
      <c r="P301" s="46" t="str">
        <f>VLOOKUP(N301,Datos!$BJ$5:$BL$334,3,FALSE)</f>
        <v>SUBESPECIE</v>
      </c>
      <c r="Q301" s="22"/>
      <c r="R301" s="65"/>
      <c r="S301" s="65"/>
      <c r="T301" s="65"/>
      <c r="U301" s="45"/>
    </row>
    <row r="302" spans="1:21" hidden="1">
      <c r="A302" s="58">
        <v>421</v>
      </c>
      <c r="B302" s="61"/>
      <c r="C302" s="49" t="s">
        <v>2492</v>
      </c>
      <c r="D302" s="49" t="s">
        <v>2492</v>
      </c>
      <c r="E302" s="64" t="s">
        <v>2492</v>
      </c>
      <c r="F302" s="22"/>
      <c r="G302" s="22"/>
      <c r="H302" s="22"/>
      <c r="I302" s="22"/>
      <c r="J302" s="22"/>
      <c r="K302" s="95"/>
      <c r="L302" s="50"/>
      <c r="M302" s="22"/>
      <c r="N302" s="22" t="s">
        <v>2195</v>
      </c>
      <c r="O302" s="46" t="str">
        <f>VLOOKUP(N302,Datos!$BJ$5:$BL$334,2,FALSE)</f>
        <v>ESPECIE</v>
      </c>
      <c r="P302" s="46" t="str">
        <f>VLOOKUP(N302,Datos!$BJ$5:$BL$334,3,FALSE)</f>
        <v>SUBESPECIE</v>
      </c>
      <c r="Q302" s="22"/>
      <c r="R302" s="65"/>
      <c r="S302" s="65"/>
      <c r="T302" s="65"/>
      <c r="U302" s="45"/>
    </row>
    <row r="303" spans="1:21" hidden="1">
      <c r="A303" s="58">
        <v>422</v>
      </c>
      <c r="B303" s="61"/>
      <c r="C303" s="49" t="s">
        <v>2492</v>
      </c>
      <c r="D303" s="49" t="s">
        <v>2492</v>
      </c>
      <c r="E303" s="64" t="s">
        <v>2492</v>
      </c>
      <c r="F303" s="22"/>
      <c r="G303" s="22"/>
      <c r="H303" s="22"/>
      <c r="I303" s="22"/>
      <c r="J303" s="22"/>
      <c r="K303" s="95"/>
      <c r="L303" s="50"/>
      <c r="M303" s="22"/>
      <c r="N303" s="22" t="s">
        <v>2195</v>
      </c>
      <c r="O303" s="46" t="str">
        <f>VLOOKUP(N303,Datos!$BJ$5:$BL$334,2,FALSE)</f>
        <v>ESPECIE</v>
      </c>
      <c r="P303" s="46" t="str">
        <f>VLOOKUP(N303,Datos!$BJ$5:$BL$334,3,FALSE)</f>
        <v>SUBESPECIE</v>
      </c>
      <c r="Q303" s="22"/>
      <c r="R303" s="65"/>
      <c r="S303" s="65"/>
      <c r="T303" s="65"/>
      <c r="U303" s="45"/>
    </row>
    <row r="304" spans="1:21" hidden="1">
      <c r="A304" s="58">
        <v>423</v>
      </c>
      <c r="B304" s="61"/>
      <c r="C304" s="49" t="s">
        <v>2492</v>
      </c>
      <c r="D304" s="49" t="s">
        <v>2492</v>
      </c>
      <c r="E304" s="64" t="s">
        <v>2492</v>
      </c>
      <c r="F304" s="22"/>
      <c r="G304" s="22"/>
      <c r="H304" s="22"/>
      <c r="I304" s="22"/>
      <c r="J304" s="22"/>
      <c r="K304" s="95"/>
      <c r="L304" s="50"/>
      <c r="M304" s="22"/>
      <c r="N304" s="22" t="s">
        <v>2195</v>
      </c>
      <c r="O304" s="46" t="str">
        <f>VLOOKUP(N304,Datos!$BJ$5:$BL$334,2,FALSE)</f>
        <v>ESPECIE</v>
      </c>
      <c r="P304" s="46" t="str">
        <f>VLOOKUP(N304,Datos!$BJ$5:$BL$334,3,FALSE)</f>
        <v>SUBESPECIE</v>
      </c>
      <c r="Q304" s="22"/>
      <c r="R304" s="65"/>
      <c r="S304" s="65"/>
      <c r="T304" s="65"/>
      <c r="U304" s="45"/>
    </row>
    <row r="305" spans="1:21" hidden="1">
      <c r="A305" s="58">
        <v>424</v>
      </c>
      <c r="B305" s="61"/>
      <c r="C305" s="49" t="s">
        <v>2492</v>
      </c>
      <c r="D305" s="49" t="s">
        <v>2492</v>
      </c>
      <c r="E305" s="64" t="s">
        <v>2492</v>
      </c>
      <c r="F305" s="22"/>
      <c r="G305" s="22"/>
      <c r="H305" s="22"/>
      <c r="I305" s="22"/>
      <c r="J305" s="22"/>
      <c r="K305" s="95"/>
      <c r="L305" s="50"/>
      <c r="M305" s="22"/>
      <c r="N305" s="22" t="s">
        <v>2195</v>
      </c>
      <c r="O305" s="46" t="str">
        <f>VLOOKUP(N305,Datos!$BJ$5:$BL$334,2,FALSE)</f>
        <v>ESPECIE</v>
      </c>
      <c r="P305" s="46" t="str">
        <f>VLOOKUP(N305,Datos!$BJ$5:$BL$334,3,FALSE)</f>
        <v>SUBESPECIE</v>
      </c>
      <c r="Q305" s="22"/>
      <c r="R305" s="65"/>
      <c r="S305" s="65"/>
      <c r="T305" s="65"/>
      <c r="U305" s="45"/>
    </row>
    <row r="306" spans="1:21" hidden="1">
      <c r="A306" s="58">
        <v>425</v>
      </c>
      <c r="B306" s="61"/>
      <c r="C306" s="49" t="s">
        <v>2492</v>
      </c>
      <c r="D306" s="49" t="s">
        <v>2492</v>
      </c>
      <c r="E306" s="64" t="s">
        <v>2492</v>
      </c>
      <c r="F306" s="22"/>
      <c r="G306" s="22"/>
      <c r="H306" s="22"/>
      <c r="I306" s="22"/>
      <c r="J306" s="22"/>
      <c r="K306" s="95"/>
      <c r="L306" s="50"/>
      <c r="M306" s="22"/>
      <c r="N306" s="22" t="s">
        <v>2195</v>
      </c>
      <c r="O306" s="46" t="str">
        <f>VLOOKUP(N306,Datos!$BJ$5:$BL$334,2,FALSE)</f>
        <v>ESPECIE</v>
      </c>
      <c r="P306" s="46" t="str">
        <f>VLOOKUP(N306,Datos!$BJ$5:$BL$334,3,FALSE)</f>
        <v>SUBESPECIE</v>
      </c>
      <c r="Q306" s="22"/>
      <c r="R306" s="65"/>
      <c r="S306" s="65"/>
      <c r="T306" s="65"/>
      <c r="U306" s="45"/>
    </row>
    <row r="307" spans="1:21" hidden="1">
      <c r="A307" s="58">
        <v>426</v>
      </c>
      <c r="B307" s="61"/>
      <c r="C307" s="49" t="s">
        <v>2492</v>
      </c>
      <c r="D307" s="49" t="s">
        <v>2492</v>
      </c>
      <c r="E307" s="64" t="s">
        <v>2492</v>
      </c>
      <c r="F307" s="22"/>
      <c r="G307" s="22"/>
      <c r="H307" s="22"/>
      <c r="I307" s="22"/>
      <c r="J307" s="22"/>
      <c r="K307" s="95"/>
      <c r="L307" s="50"/>
      <c r="M307" s="22"/>
      <c r="N307" s="22" t="s">
        <v>2195</v>
      </c>
      <c r="O307" s="46" t="str">
        <f>VLOOKUP(N307,Datos!$BJ$5:$BL$334,2,FALSE)</f>
        <v>ESPECIE</v>
      </c>
      <c r="P307" s="46" t="str">
        <f>VLOOKUP(N307,Datos!$BJ$5:$BL$334,3,FALSE)</f>
        <v>SUBESPECIE</v>
      </c>
      <c r="Q307" s="22"/>
      <c r="R307" s="65"/>
      <c r="S307" s="65"/>
      <c r="T307" s="65"/>
      <c r="U307" s="45"/>
    </row>
    <row r="308" spans="1:21" hidden="1">
      <c r="A308" s="58">
        <v>427</v>
      </c>
      <c r="B308" s="61"/>
      <c r="C308" s="49" t="s">
        <v>2492</v>
      </c>
      <c r="D308" s="49" t="s">
        <v>2492</v>
      </c>
      <c r="E308" s="64" t="s">
        <v>2492</v>
      </c>
      <c r="F308" s="22"/>
      <c r="G308" s="22"/>
      <c r="H308" s="22"/>
      <c r="I308" s="22"/>
      <c r="J308" s="22"/>
      <c r="K308" s="95"/>
      <c r="L308" s="50"/>
      <c r="M308" s="22"/>
      <c r="N308" s="22" t="s">
        <v>2195</v>
      </c>
      <c r="O308" s="46" t="str">
        <f>VLOOKUP(N308,Datos!$BJ$5:$BL$334,2,FALSE)</f>
        <v>ESPECIE</v>
      </c>
      <c r="P308" s="46" t="str">
        <f>VLOOKUP(N308,Datos!$BJ$5:$BL$334,3,FALSE)</f>
        <v>SUBESPECIE</v>
      </c>
      <c r="Q308" s="22"/>
      <c r="R308" s="65"/>
      <c r="S308" s="65"/>
      <c r="T308" s="65"/>
      <c r="U308" s="45"/>
    </row>
    <row r="309" spans="1:21" hidden="1">
      <c r="A309" s="58">
        <v>428</v>
      </c>
      <c r="B309" s="61"/>
      <c r="C309" s="49" t="s">
        <v>2492</v>
      </c>
      <c r="D309" s="49" t="s">
        <v>2492</v>
      </c>
      <c r="E309" s="64" t="s">
        <v>2492</v>
      </c>
      <c r="F309" s="22"/>
      <c r="G309" s="22"/>
      <c r="H309" s="22"/>
      <c r="I309" s="22"/>
      <c r="J309" s="22"/>
      <c r="K309" s="95"/>
      <c r="L309" s="50"/>
      <c r="M309" s="22"/>
      <c r="N309" s="22" t="s">
        <v>2195</v>
      </c>
      <c r="O309" s="46" t="str">
        <f>VLOOKUP(N309,Datos!$BJ$5:$BL$334,2,FALSE)</f>
        <v>ESPECIE</v>
      </c>
      <c r="P309" s="46" t="str">
        <f>VLOOKUP(N309,Datos!$BJ$5:$BL$334,3,FALSE)</f>
        <v>SUBESPECIE</v>
      </c>
      <c r="Q309" s="22"/>
      <c r="R309" s="65"/>
      <c r="S309" s="65"/>
      <c r="T309" s="65"/>
      <c r="U309" s="45"/>
    </row>
    <row r="310" spans="1:21" hidden="1">
      <c r="A310" s="58">
        <v>429</v>
      </c>
      <c r="B310" s="61"/>
      <c r="C310" s="49" t="s">
        <v>2492</v>
      </c>
      <c r="D310" s="49" t="s">
        <v>2492</v>
      </c>
      <c r="E310" s="64" t="s">
        <v>2492</v>
      </c>
      <c r="F310" s="22"/>
      <c r="G310" s="22"/>
      <c r="H310" s="22"/>
      <c r="I310" s="22"/>
      <c r="J310" s="22"/>
      <c r="K310" s="95"/>
      <c r="L310" s="50"/>
      <c r="M310" s="22"/>
      <c r="N310" s="22" t="s">
        <v>2195</v>
      </c>
      <c r="O310" s="46" t="str">
        <f>VLOOKUP(N310,Datos!$BJ$5:$BL$334,2,FALSE)</f>
        <v>ESPECIE</v>
      </c>
      <c r="P310" s="46" t="str">
        <f>VLOOKUP(N310,Datos!$BJ$5:$BL$334,3,FALSE)</f>
        <v>SUBESPECIE</v>
      </c>
      <c r="Q310" s="22"/>
      <c r="R310" s="65"/>
      <c r="S310" s="65"/>
      <c r="T310" s="65"/>
      <c r="U310" s="45"/>
    </row>
    <row r="311" spans="1:21" hidden="1">
      <c r="A311" s="58">
        <v>430</v>
      </c>
      <c r="B311" s="61"/>
      <c r="C311" s="49" t="s">
        <v>2492</v>
      </c>
      <c r="D311" s="49" t="s">
        <v>2492</v>
      </c>
      <c r="E311" s="64" t="s">
        <v>2492</v>
      </c>
      <c r="F311" s="22"/>
      <c r="G311" s="22"/>
      <c r="H311" s="22"/>
      <c r="I311" s="22"/>
      <c r="J311" s="22"/>
      <c r="K311" s="95"/>
      <c r="L311" s="50"/>
      <c r="M311" s="22"/>
      <c r="N311" s="22" t="s">
        <v>2195</v>
      </c>
      <c r="O311" s="46" t="str">
        <f>VLOOKUP(N311,Datos!$BJ$5:$BL$334,2,FALSE)</f>
        <v>ESPECIE</v>
      </c>
      <c r="P311" s="46" t="str">
        <f>VLOOKUP(N311,Datos!$BJ$5:$BL$334,3,FALSE)</f>
        <v>SUBESPECIE</v>
      </c>
      <c r="Q311" s="22"/>
      <c r="R311" s="65"/>
      <c r="S311" s="65"/>
      <c r="T311" s="65"/>
      <c r="U311" s="45"/>
    </row>
    <row r="312" spans="1:21" hidden="1">
      <c r="A312" s="58">
        <v>431</v>
      </c>
      <c r="B312" s="61"/>
      <c r="C312" s="49" t="s">
        <v>2492</v>
      </c>
      <c r="D312" s="49" t="s">
        <v>2492</v>
      </c>
      <c r="E312" s="64" t="s">
        <v>2492</v>
      </c>
      <c r="F312" s="22"/>
      <c r="G312" s="22"/>
      <c r="H312" s="22"/>
      <c r="I312" s="22"/>
      <c r="J312" s="22"/>
      <c r="K312" s="95"/>
      <c r="L312" s="50"/>
      <c r="M312" s="22"/>
      <c r="N312" s="22" t="s">
        <v>2195</v>
      </c>
      <c r="O312" s="46" t="str">
        <f>VLOOKUP(N312,Datos!$BJ$5:$BL$334,2,FALSE)</f>
        <v>ESPECIE</v>
      </c>
      <c r="P312" s="46" t="str">
        <f>VLOOKUP(N312,Datos!$BJ$5:$BL$334,3,FALSE)</f>
        <v>SUBESPECIE</v>
      </c>
      <c r="Q312" s="22"/>
      <c r="R312" s="65"/>
      <c r="S312" s="65"/>
      <c r="T312" s="65"/>
      <c r="U312" s="45"/>
    </row>
    <row r="313" spans="1:21" hidden="1">
      <c r="A313" s="58">
        <v>432</v>
      </c>
      <c r="B313" s="61"/>
      <c r="C313" s="49" t="s">
        <v>2492</v>
      </c>
      <c r="D313" s="49" t="s">
        <v>2492</v>
      </c>
      <c r="E313" s="64" t="s">
        <v>2492</v>
      </c>
      <c r="F313" s="22"/>
      <c r="G313" s="22"/>
      <c r="H313" s="22"/>
      <c r="I313" s="22"/>
      <c r="J313" s="22"/>
      <c r="K313" s="95"/>
      <c r="L313" s="50"/>
      <c r="M313" s="22"/>
      <c r="N313" s="22" t="s">
        <v>2195</v>
      </c>
      <c r="O313" s="46" t="str">
        <f>VLOOKUP(N313,Datos!$BJ$5:$BL$334,2,FALSE)</f>
        <v>ESPECIE</v>
      </c>
      <c r="P313" s="46" t="str">
        <f>VLOOKUP(N313,Datos!$BJ$5:$BL$334,3,FALSE)</f>
        <v>SUBESPECIE</v>
      </c>
      <c r="Q313" s="22"/>
      <c r="R313" s="65"/>
      <c r="S313" s="65"/>
      <c r="T313" s="65"/>
      <c r="U313" s="45"/>
    </row>
    <row r="314" spans="1:21" hidden="1">
      <c r="A314" s="58">
        <v>433</v>
      </c>
      <c r="B314" s="61"/>
      <c r="C314" s="49" t="s">
        <v>2492</v>
      </c>
      <c r="D314" s="49" t="s">
        <v>2492</v>
      </c>
      <c r="E314" s="64" t="s">
        <v>2492</v>
      </c>
      <c r="F314" s="22"/>
      <c r="G314" s="22"/>
      <c r="H314" s="22"/>
      <c r="I314" s="22"/>
      <c r="J314" s="22"/>
      <c r="K314" s="95"/>
      <c r="L314" s="50"/>
      <c r="M314" s="22"/>
      <c r="N314" s="22" t="s">
        <v>2195</v>
      </c>
      <c r="O314" s="46" t="str">
        <f>VLOOKUP(N314,Datos!$BJ$5:$BL$334,2,FALSE)</f>
        <v>ESPECIE</v>
      </c>
      <c r="P314" s="46" t="str">
        <f>VLOOKUP(N314,Datos!$BJ$5:$BL$334,3,FALSE)</f>
        <v>SUBESPECIE</v>
      </c>
      <c r="Q314" s="22"/>
      <c r="R314" s="65"/>
      <c r="S314" s="65"/>
      <c r="T314" s="65"/>
      <c r="U314" s="45"/>
    </row>
    <row r="315" spans="1:21" hidden="1">
      <c r="A315" s="58">
        <v>434</v>
      </c>
      <c r="B315" s="61"/>
      <c r="C315" s="49" t="s">
        <v>2492</v>
      </c>
      <c r="D315" s="49" t="s">
        <v>2492</v>
      </c>
      <c r="E315" s="64" t="s">
        <v>2492</v>
      </c>
      <c r="F315" s="22"/>
      <c r="G315" s="22"/>
      <c r="H315" s="22"/>
      <c r="I315" s="22"/>
      <c r="J315" s="22"/>
      <c r="K315" s="95"/>
      <c r="L315" s="50"/>
      <c r="M315" s="22"/>
      <c r="N315" s="22" t="s">
        <v>2195</v>
      </c>
      <c r="O315" s="46" t="str">
        <f>VLOOKUP(N315,Datos!$BJ$5:$BL$334,2,FALSE)</f>
        <v>ESPECIE</v>
      </c>
      <c r="P315" s="46" t="str">
        <f>VLOOKUP(N315,Datos!$BJ$5:$BL$334,3,FALSE)</f>
        <v>SUBESPECIE</v>
      </c>
      <c r="Q315" s="22"/>
      <c r="R315" s="65"/>
      <c r="S315" s="65"/>
      <c r="T315" s="65"/>
      <c r="U315" s="45"/>
    </row>
    <row r="316" spans="1:21" hidden="1">
      <c r="A316" s="58">
        <v>435</v>
      </c>
      <c r="B316" s="61"/>
      <c r="C316" s="49" t="s">
        <v>2492</v>
      </c>
      <c r="D316" s="49" t="s">
        <v>2492</v>
      </c>
      <c r="E316" s="64" t="s">
        <v>2492</v>
      </c>
      <c r="F316" s="22"/>
      <c r="G316" s="22"/>
      <c r="H316" s="22"/>
      <c r="I316" s="22"/>
      <c r="J316" s="22"/>
      <c r="K316" s="95"/>
      <c r="L316" s="50"/>
      <c r="M316" s="22"/>
      <c r="N316" s="22" t="s">
        <v>2195</v>
      </c>
      <c r="O316" s="46" t="str">
        <f>VLOOKUP(N316,Datos!$BJ$5:$BL$334,2,FALSE)</f>
        <v>ESPECIE</v>
      </c>
      <c r="P316" s="46" t="str">
        <f>VLOOKUP(N316,Datos!$BJ$5:$BL$334,3,FALSE)</f>
        <v>SUBESPECIE</v>
      </c>
      <c r="Q316" s="22"/>
      <c r="R316" s="65"/>
      <c r="S316" s="65"/>
      <c r="T316" s="65"/>
      <c r="U316" s="45"/>
    </row>
    <row r="317" spans="1:21" hidden="1">
      <c r="A317" s="58">
        <v>436</v>
      </c>
      <c r="B317" s="61"/>
      <c r="C317" s="49" t="s">
        <v>2492</v>
      </c>
      <c r="D317" s="49" t="s">
        <v>2492</v>
      </c>
      <c r="E317" s="64" t="s">
        <v>2492</v>
      </c>
      <c r="F317" s="22"/>
      <c r="G317" s="22"/>
      <c r="H317" s="22"/>
      <c r="I317" s="22"/>
      <c r="J317" s="22"/>
      <c r="K317" s="95"/>
      <c r="L317" s="50"/>
      <c r="M317" s="22"/>
      <c r="N317" s="22" t="s">
        <v>2195</v>
      </c>
      <c r="O317" s="46" t="str">
        <f>VLOOKUP(N317,Datos!$BJ$5:$BL$334,2,FALSE)</f>
        <v>ESPECIE</v>
      </c>
      <c r="P317" s="46" t="str">
        <f>VLOOKUP(N317,Datos!$BJ$5:$BL$334,3,FALSE)</f>
        <v>SUBESPECIE</v>
      </c>
      <c r="Q317" s="22"/>
      <c r="R317" s="65"/>
      <c r="S317" s="65"/>
      <c r="T317" s="65"/>
      <c r="U317" s="45"/>
    </row>
    <row r="318" spans="1:21" hidden="1">
      <c r="A318" s="58">
        <v>437</v>
      </c>
      <c r="B318" s="61"/>
      <c r="C318" s="49" t="s">
        <v>2492</v>
      </c>
      <c r="D318" s="49" t="s">
        <v>2492</v>
      </c>
      <c r="E318" s="64" t="s">
        <v>2492</v>
      </c>
      <c r="F318" s="22"/>
      <c r="G318" s="22"/>
      <c r="H318" s="22"/>
      <c r="I318" s="22"/>
      <c r="J318" s="22"/>
      <c r="K318" s="95"/>
      <c r="L318" s="50"/>
      <c r="M318" s="22"/>
      <c r="N318" s="22" t="s">
        <v>2195</v>
      </c>
      <c r="O318" s="46" t="str">
        <f>VLOOKUP(N318,Datos!$BJ$5:$BL$334,2,FALSE)</f>
        <v>ESPECIE</v>
      </c>
      <c r="P318" s="46" t="str">
        <f>VLOOKUP(N318,Datos!$BJ$5:$BL$334,3,FALSE)</f>
        <v>SUBESPECIE</v>
      </c>
      <c r="Q318" s="22"/>
      <c r="R318" s="65"/>
      <c r="S318" s="65"/>
      <c r="T318" s="65"/>
      <c r="U318" s="45"/>
    </row>
    <row r="319" spans="1:21" hidden="1">
      <c r="A319" s="58">
        <v>438</v>
      </c>
      <c r="B319" s="61"/>
      <c r="C319" s="49" t="s">
        <v>2492</v>
      </c>
      <c r="D319" s="49" t="s">
        <v>2492</v>
      </c>
      <c r="E319" s="64" t="s">
        <v>2492</v>
      </c>
      <c r="F319" s="22"/>
      <c r="G319" s="22"/>
      <c r="H319" s="22"/>
      <c r="I319" s="22"/>
      <c r="J319" s="22"/>
      <c r="K319" s="95"/>
      <c r="L319" s="50"/>
      <c r="M319" s="22"/>
      <c r="N319" s="22" t="s">
        <v>2195</v>
      </c>
      <c r="O319" s="46" t="str">
        <f>VLOOKUP(N319,Datos!$BJ$5:$BL$334,2,FALSE)</f>
        <v>ESPECIE</v>
      </c>
      <c r="P319" s="46" t="str">
        <f>VLOOKUP(N319,Datos!$BJ$5:$BL$334,3,FALSE)</f>
        <v>SUBESPECIE</v>
      </c>
      <c r="Q319" s="22"/>
      <c r="R319" s="65"/>
      <c r="S319" s="65"/>
      <c r="T319" s="65"/>
      <c r="U319" s="45"/>
    </row>
    <row r="320" spans="1:21" hidden="1">
      <c r="A320" s="58">
        <v>439</v>
      </c>
      <c r="B320" s="61"/>
      <c r="C320" s="49" t="s">
        <v>2492</v>
      </c>
      <c r="D320" s="49" t="s">
        <v>2492</v>
      </c>
      <c r="E320" s="64" t="s">
        <v>2492</v>
      </c>
      <c r="F320" s="22"/>
      <c r="G320" s="22"/>
      <c r="H320" s="22"/>
      <c r="I320" s="22"/>
      <c r="J320" s="22"/>
      <c r="K320" s="95"/>
      <c r="L320" s="50"/>
      <c r="M320" s="22"/>
      <c r="N320" s="22" t="s">
        <v>2195</v>
      </c>
      <c r="O320" s="46" t="str">
        <f>VLOOKUP(N320,Datos!$BJ$5:$BL$334,2,FALSE)</f>
        <v>ESPECIE</v>
      </c>
      <c r="P320" s="46" t="str">
        <f>VLOOKUP(N320,Datos!$BJ$5:$BL$334,3,FALSE)</f>
        <v>SUBESPECIE</v>
      </c>
      <c r="Q320" s="22"/>
      <c r="R320" s="65"/>
      <c r="S320" s="65"/>
      <c r="T320" s="65"/>
      <c r="U320" s="45"/>
    </row>
    <row r="321" spans="1:21" hidden="1">
      <c r="A321" s="58">
        <v>440</v>
      </c>
      <c r="B321" s="61"/>
      <c r="C321" s="49" t="s">
        <v>2492</v>
      </c>
      <c r="D321" s="49" t="s">
        <v>2492</v>
      </c>
      <c r="E321" s="64" t="s">
        <v>2492</v>
      </c>
      <c r="F321" s="22"/>
      <c r="G321" s="22"/>
      <c r="H321" s="22"/>
      <c r="I321" s="22"/>
      <c r="J321" s="22"/>
      <c r="K321" s="95"/>
      <c r="L321" s="50"/>
      <c r="M321" s="22"/>
      <c r="N321" s="22" t="s">
        <v>2195</v>
      </c>
      <c r="O321" s="46" t="str">
        <f>VLOOKUP(N321,Datos!$BJ$5:$BL$334,2,FALSE)</f>
        <v>ESPECIE</v>
      </c>
      <c r="P321" s="46" t="str">
        <f>VLOOKUP(N321,Datos!$BJ$5:$BL$334,3,FALSE)</f>
        <v>SUBESPECIE</v>
      </c>
      <c r="Q321" s="22"/>
      <c r="R321" s="65"/>
      <c r="S321" s="65"/>
      <c r="T321" s="65"/>
      <c r="U321" s="45"/>
    </row>
    <row r="322" spans="1:21" hidden="1">
      <c r="A322" s="58">
        <v>441</v>
      </c>
      <c r="B322" s="61"/>
      <c r="C322" s="49" t="s">
        <v>2492</v>
      </c>
      <c r="D322" s="49" t="s">
        <v>2492</v>
      </c>
      <c r="E322" s="64" t="s">
        <v>2492</v>
      </c>
      <c r="F322" s="22"/>
      <c r="G322" s="22"/>
      <c r="H322" s="22"/>
      <c r="I322" s="22"/>
      <c r="J322" s="22"/>
      <c r="K322" s="95"/>
      <c r="L322" s="50"/>
      <c r="M322" s="22"/>
      <c r="N322" s="22" t="s">
        <v>2195</v>
      </c>
      <c r="O322" s="46" t="str">
        <f>VLOOKUP(N322,Datos!$BJ$5:$BL$334,2,FALSE)</f>
        <v>ESPECIE</v>
      </c>
      <c r="P322" s="46" t="str">
        <f>VLOOKUP(N322,Datos!$BJ$5:$BL$334,3,FALSE)</f>
        <v>SUBESPECIE</v>
      </c>
      <c r="Q322" s="22"/>
      <c r="R322" s="65"/>
      <c r="S322" s="65"/>
      <c r="T322" s="65"/>
      <c r="U322" s="45"/>
    </row>
    <row r="323" spans="1:21" hidden="1">
      <c r="A323" s="58">
        <v>442</v>
      </c>
      <c r="B323" s="61"/>
      <c r="C323" s="49" t="s">
        <v>2492</v>
      </c>
      <c r="D323" s="49" t="s">
        <v>2492</v>
      </c>
      <c r="E323" s="64" t="s">
        <v>2492</v>
      </c>
      <c r="F323" s="22"/>
      <c r="G323" s="22"/>
      <c r="H323" s="22"/>
      <c r="I323" s="22"/>
      <c r="J323" s="22"/>
      <c r="K323" s="95"/>
      <c r="L323" s="50"/>
      <c r="M323" s="22"/>
      <c r="N323" s="22" t="s">
        <v>2195</v>
      </c>
      <c r="O323" s="46" t="str">
        <f>VLOOKUP(N323,Datos!$BJ$5:$BL$334,2,FALSE)</f>
        <v>ESPECIE</v>
      </c>
      <c r="P323" s="46" t="str">
        <f>VLOOKUP(N323,Datos!$BJ$5:$BL$334,3,FALSE)</f>
        <v>SUBESPECIE</v>
      </c>
      <c r="Q323" s="22"/>
      <c r="R323" s="65"/>
      <c r="S323" s="65"/>
      <c r="T323" s="65"/>
      <c r="U323" s="45"/>
    </row>
    <row r="324" spans="1:21" hidden="1">
      <c r="A324" s="58">
        <v>443</v>
      </c>
      <c r="B324" s="61"/>
      <c r="C324" s="49" t="s">
        <v>2492</v>
      </c>
      <c r="D324" s="49" t="s">
        <v>2492</v>
      </c>
      <c r="E324" s="64" t="s">
        <v>2492</v>
      </c>
      <c r="F324" s="22"/>
      <c r="G324" s="22"/>
      <c r="H324" s="22"/>
      <c r="I324" s="22"/>
      <c r="J324" s="22"/>
      <c r="K324" s="95"/>
      <c r="L324" s="50"/>
      <c r="M324" s="22"/>
      <c r="N324" s="22" t="s">
        <v>2195</v>
      </c>
      <c r="O324" s="46" t="str">
        <f>VLOOKUP(N324,Datos!$BJ$5:$BL$334,2,FALSE)</f>
        <v>ESPECIE</v>
      </c>
      <c r="P324" s="46" t="str">
        <f>VLOOKUP(N324,Datos!$BJ$5:$BL$334,3,FALSE)</f>
        <v>SUBESPECIE</v>
      </c>
      <c r="Q324" s="22"/>
      <c r="R324" s="65"/>
      <c r="S324" s="65"/>
      <c r="T324" s="65"/>
      <c r="U324" s="45"/>
    </row>
    <row r="325" spans="1:21" hidden="1">
      <c r="A325" s="58">
        <v>444</v>
      </c>
      <c r="B325" s="61"/>
      <c r="C325" s="49" t="s">
        <v>2492</v>
      </c>
      <c r="D325" s="49" t="s">
        <v>2492</v>
      </c>
      <c r="E325" s="64" t="s">
        <v>2492</v>
      </c>
      <c r="F325" s="22"/>
      <c r="G325" s="22"/>
      <c r="H325" s="22"/>
      <c r="I325" s="22"/>
      <c r="J325" s="22"/>
      <c r="K325" s="95"/>
      <c r="L325" s="50"/>
      <c r="M325" s="22"/>
      <c r="N325" s="22" t="s">
        <v>2195</v>
      </c>
      <c r="O325" s="46" t="str">
        <f>VLOOKUP(N325,Datos!$BJ$5:$BL$334,2,FALSE)</f>
        <v>ESPECIE</v>
      </c>
      <c r="P325" s="46" t="str">
        <f>VLOOKUP(N325,Datos!$BJ$5:$BL$334,3,FALSE)</f>
        <v>SUBESPECIE</v>
      </c>
      <c r="Q325" s="22"/>
      <c r="R325" s="65"/>
      <c r="S325" s="65"/>
      <c r="T325" s="65"/>
      <c r="U325" s="45"/>
    </row>
    <row r="326" spans="1:21" hidden="1">
      <c r="A326" s="58">
        <v>445</v>
      </c>
      <c r="B326" s="61"/>
      <c r="C326" s="49" t="s">
        <v>2492</v>
      </c>
      <c r="D326" s="49" t="s">
        <v>2492</v>
      </c>
      <c r="E326" s="64" t="s">
        <v>2492</v>
      </c>
      <c r="F326" s="22"/>
      <c r="G326" s="22"/>
      <c r="H326" s="22"/>
      <c r="I326" s="22"/>
      <c r="J326" s="22"/>
      <c r="K326" s="95"/>
      <c r="L326" s="50"/>
      <c r="M326" s="22"/>
      <c r="N326" s="22" t="s">
        <v>2195</v>
      </c>
      <c r="O326" s="46" t="str">
        <f>VLOOKUP(N326,Datos!$BJ$5:$BL$334,2,FALSE)</f>
        <v>ESPECIE</v>
      </c>
      <c r="P326" s="46" t="str">
        <f>VLOOKUP(N326,Datos!$BJ$5:$BL$334,3,FALSE)</f>
        <v>SUBESPECIE</v>
      </c>
      <c r="Q326" s="22"/>
      <c r="R326" s="65"/>
      <c r="S326" s="65"/>
      <c r="T326" s="65"/>
      <c r="U326" s="45"/>
    </row>
    <row r="327" spans="1:21" hidden="1">
      <c r="A327" s="58">
        <v>446</v>
      </c>
      <c r="B327" s="61"/>
      <c r="C327" s="49" t="s">
        <v>2492</v>
      </c>
      <c r="D327" s="49" t="s">
        <v>2492</v>
      </c>
      <c r="E327" s="64" t="s">
        <v>2492</v>
      </c>
      <c r="F327" s="22"/>
      <c r="G327" s="22"/>
      <c r="H327" s="22"/>
      <c r="I327" s="22"/>
      <c r="J327" s="22"/>
      <c r="K327" s="95"/>
      <c r="L327" s="50"/>
      <c r="M327" s="22"/>
      <c r="N327" s="22" t="s">
        <v>2195</v>
      </c>
      <c r="O327" s="46" t="str">
        <f>VLOOKUP(N327,Datos!$BJ$5:$BL$334,2,FALSE)</f>
        <v>ESPECIE</v>
      </c>
      <c r="P327" s="46" t="str">
        <f>VLOOKUP(N327,Datos!$BJ$5:$BL$334,3,FALSE)</f>
        <v>SUBESPECIE</v>
      </c>
      <c r="Q327" s="22"/>
      <c r="R327" s="65"/>
      <c r="S327" s="65"/>
      <c r="T327" s="65"/>
      <c r="U327" s="45"/>
    </row>
    <row r="328" spans="1:21" hidden="1">
      <c r="A328" s="58">
        <v>447</v>
      </c>
      <c r="B328" s="61"/>
      <c r="C328" s="49" t="s">
        <v>2492</v>
      </c>
      <c r="D328" s="49" t="s">
        <v>2492</v>
      </c>
      <c r="E328" s="64" t="s">
        <v>2492</v>
      </c>
      <c r="F328" s="22"/>
      <c r="G328" s="22"/>
      <c r="H328" s="22"/>
      <c r="I328" s="22"/>
      <c r="J328" s="22"/>
      <c r="K328" s="95"/>
      <c r="L328" s="50"/>
      <c r="M328" s="22"/>
      <c r="N328" s="22" t="s">
        <v>2195</v>
      </c>
      <c r="O328" s="46" t="str">
        <f>VLOOKUP(N328,Datos!$BJ$5:$BL$334,2,FALSE)</f>
        <v>ESPECIE</v>
      </c>
      <c r="P328" s="46" t="str">
        <f>VLOOKUP(N328,Datos!$BJ$5:$BL$334,3,FALSE)</f>
        <v>SUBESPECIE</v>
      </c>
      <c r="Q328" s="22"/>
      <c r="R328" s="65"/>
      <c r="S328" s="65"/>
      <c r="T328" s="65"/>
      <c r="U328" s="45"/>
    </row>
    <row r="329" spans="1:21" hidden="1">
      <c r="A329" s="58">
        <v>448</v>
      </c>
      <c r="B329" s="61"/>
      <c r="C329" s="49" t="s">
        <v>2492</v>
      </c>
      <c r="D329" s="49" t="s">
        <v>2492</v>
      </c>
      <c r="E329" s="64" t="s">
        <v>2492</v>
      </c>
      <c r="F329" s="22"/>
      <c r="G329" s="22"/>
      <c r="H329" s="22"/>
      <c r="I329" s="22"/>
      <c r="J329" s="22"/>
      <c r="K329" s="95"/>
      <c r="L329" s="50"/>
      <c r="M329" s="22"/>
      <c r="N329" s="22" t="s">
        <v>2195</v>
      </c>
      <c r="O329" s="46" t="str">
        <f>VLOOKUP(N329,Datos!$BJ$5:$BL$334,2,FALSE)</f>
        <v>ESPECIE</v>
      </c>
      <c r="P329" s="46" t="str">
        <f>VLOOKUP(N329,Datos!$BJ$5:$BL$334,3,FALSE)</f>
        <v>SUBESPECIE</v>
      </c>
      <c r="Q329" s="22"/>
      <c r="R329" s="65"/>
      <c r="S329" s="65"/>
      <c r="T329" s="65"/>
      <c r="U329" s="45"/>
    </row>
    <row r="330" spans="1:21" hidden="1">
      <c r="A330" s="58">
        <v>449</v>
      </c>
      <c r="B330" s="61"/>
      <c r="C330" s="49" t="s">
        <v>2492</v>
      </c>
      <c r="D330" s="49" t="s">
        <v>2492</v>
      </c>
      <c r="E330" s="64" t="s">
        <v>2492</v>
      </c>
      <c r="F330" s="22"/>
      <c r="G330" s="22"/>
      <c r="H330" s="22"/>
      <c r="I330" s="22"/>
      <c r="J330" s="22"/>
      <c r="K330" s="95"/>
      <c r="L330" s="50"/>
      <c r="M330" s="22"/>
      <c r="N330" s="22" t="s">
        <v>2195</v>
      </c>
      <c r="O330" s="46" t="str">
        <f>VLOOKUP(N330,Datos!$BJ$5:$BL$334,2,FALSE)</f>
        <v>ESPECIE</v>
      </c>
      <c r="P330" s="46" t="str">
        <f>VLOOKUP(N330,Datos!$BJ$5:$BL$334,3,FALSE)</f>
        <v>SUBESPECIE</v>
      </c>
      <c r="Q330" s="22"/>
      <c r="R330" s="65"/>
      <c r="S330" s="65"/>
      <c r="T330" s="65"/>
      <c r="U330" s="45"/>
    </row>
    <row r="331" spans="1:21" hidden="1">
      <c r="A331" s="58">
        <v>450</v>
      </c>
      <c r="B331" s="61"/>
      <c r="C331" s="49" t="s">
        <v>2492</v>
      </c>
      <c r="D331" s="49" t="s">
        <v>2492</v>
      </c>
      <c r="E331" s="64" t="s">
        <v>2492</v>
      </c>
      <c r="F331" s="22"/>
      <c r="G331" s="22"/>
      <c r="H331" s="22"/>
      <c r="I331" s="22"/>
      <c r="J331" s="22"/>
      <c r="K331" s="95"/>
      <c r="L331" s="50"/>
      <c r="M331" s="22"/>
      <c r="N331" s="22" t="s">
        <v>2195</v>
      </c>
      <c r="O331" s="46" t="str">
        <f>VLOOKUP(N331,Datos!$BJ$5:$BL$334,2,FALSE)</f>
        <v>ESPECIE</v>
      </c>
      <c r="P331" s="46" t="str">
        <f>VLOOKUP(N331,Datos!$BJ$5:$BL$334,3,FALSE)</f>
        <v>SUBESPECIE</v>
      </c>
      <c r="Q331" s="22"/>
      <c r="R331" s="65"/>
      <c r="S331" s="65"/>
      <c r="T331" s="65"/>
      <c r="U331" s="45"/>
    </row>
    <row r="332" spans="1:21" hidden="1">
      <c r="A332" s="58">
        <v>451</v>
      </c>
      <c r="B332" s="61"/>
      <c r="C332" s="49" t="s">
        <v>2492</v>
      </c>
      <c r="D332" s="49" t="s">
        <v>2492</v>
      </c>
      <c r="E332" s="64" t="s">
        <v>2492</v>
      </c>
      <c r="F332" s="22"/>
      <c r="G332" s="22"/>
      <c r="H332" s="22"/>
      <c r="I332" s="22"/>
      <c r="J332" s="22"/>
      <c r="K332" s="95"/>
      <c r="L332" s="50"/>
      <c r="M332" s="22"/>
      <c r="N332" s="22" t="s">
        <v>2195</v>
      </c>
      <c r="O332" s="46" t="str">
        <f>VLOOKUP(N332,Datos!$BJ$5:$BL$334,2,FALSE)</f>
        <v>ESPECIE</v>
      </c>
      <c r="P332" s="46" t="str">
        <f>VLOOKUP(N332,Datos!$BJ$5:$BL$334,3,FALSE)</f>
        <v>SUBESPECIE</v>
      </c>
      <c r="Q332" s="22"/>
      <c r="R332" s="65"/>
      <c r="S332" s="65"/>
      <c r="T332" s="65"/>
      <c r="U332" s="45"/>
    </row>
    <row r="333" spans="1:21" hidden="1">
      <c r="A333" s="58">
        <v>452</v>
      </c>
      <c r="B333" s="61"/>
      <c r="C333" s="49" t="s">
        <v>2492</v>
      </c>
      <c r="D333" s="49" t="s">
        <v>2492</v>
      </c>
      <c r="E333" s="64" t="s">
        <v>2492</v>
      </c>
      <c r="F333" s="22"/>
      <c r="G333" s="22"/>
      <c r="H333" s="22"/>
      <c r="I333" s="22"/>
      <c r="J333" s="22"/>
      <c r="K333" s="95"/>
      <c r="L333" s="50"/>
      <c r="M333" s="22"/>
      <c r="N333" s="22" t="s">
        <v>2195</v>
      </c>
      <c r="O333" s="46" t="str">
        <f>VLOOKUP(N333,Datos!$BJ$5:$BL$334,2,FALSE)</f>
        <v>ESPECIE</v>
      </c>
      <c r="P333" s="46" t="str">
        <f>VLOOKUP(N333,Datos!$BJ$5:$BL$334,3,FALSE)</f>
        <v>SUBESPECIE</v>
      </c>
      <c r="Q333" s="22"/>
      <c r="R333" s="65"/>
      <c r="S333" s="65"/>
      <c r="T333" s="65"/>
      <c r="U333" s="45"/>
    </row>
    <row r="334" spans="1:21" hidden="1">
      <c r="A334" s="58">
        <v>453</v>
      </c>
      <c r="B334" s="61"/>
      <c r="C334" s="49" t="s">
        <v>2492</v>
      </c>
      <c r="D334" s="49" t="s">
        <v>2492</v>
      </c>
      <c r="E334" s="64" t="s">
        <v>2492</v>
      </c>
      <c r="F334" s="22"/>
      <c r="G334" s="22"/>
      <c r="H334" s="22"/>
      <c r="I334" s="22"/>
      <c r="J334" s="22"/>
      <c r="K334" s="95"/>
      <c r="L334" s="50"/>
      <c r="M334" s="22"/>
      <c r="N334" s="22" t="s">
        <v>2195</v>
      </c>
      <c r="O334" s="46" t="str">
        <f>VLOOKUP(N334,Datos!$BJ$5:$BL$334,2,FALSE)</f>
        <v>ESPECIE</v>
      </c>
      <c r="P334" s="46" t="str">
        <f>VLOOKUP(N334,Datos!$BJ$5:$BL$334,3,FALSE)</f>
        <v>SUBESPECIE</v>
      </c>
      <c r="Q334" s="22"/>
      <c r="R334" s="65"/>
      <c r="S334" s="65"/>
      <c r="T334" s="65"/>
      <c r="U334" s="45"/>
    </row>
    <row r="335" spans="1:21" hidden="1">
      <c r="A335" s="58">
        <v>454</v>
      </c>
      <c r="B335" s="61"/>
      <c r="C335" s="49" t="s">
        <v>2492</v>
      </c>
      <c r="D335" s="49" t="s">
        <v>2492</v>
      </c>
      <c r="E335" s="64" t="s">
        <v>2492</v>
      </c>
      <c r="F335" s="22"/>
      <c r="G335" s="22"/>
      <c r="H335" s="22"/>
      <c r="I335" s="22"/>
      <c r="J335" s="22"/>
      <c r="K335" s="95"/>
      <c r="L335" s="50"/>
      <c r="M335" s="22"/>
      <c r="N335" s="22" t="s">
        <v>2195</v>
      </c>
      <c r="O335" s="46" t="str">
        <f>VLOOKUP(N335,Datos!$BJ$5:$BL$334,2,FALSE)</f>
        <v>ESPECIE</v>
      </c>
      <c r="P335" s="46" t="str">
        <f>VLOOKUP(N335,Datos!$BJ$5:$BL$334,3,FALSE)</f>
        <v>SUBESPECIE</v>
      </c>
      <c r="Q335" s="22"/>
      <c r="R335" s="65"/>
      <c r="S335" s="65"/>
      <c r="T335" s="65"/>
      <c r="U335" s="45"/>
    </row>
    <row r="336" spans="1:21" hidden="1">
      <c r="A336" s="58">
        <v>455</v>
      </c>
      <c r="B336" s="61"/>
      <c r="C336" s="49" t="s">
        <v>2492</v>
      </c>
      <c r="D336" s="49" t="s">
        <v>2492</v>
      </c>
      <c r="E336" s="64" t="s">
        <v>2492</v>
      </c>
      <c r="F336" s="22"/>
      <c r="G336" s="22"/>
      <c r="H336" s="22"/>
      <c r="I336" s="22"/>
      <c r="J336" s="22"/>
      <c r="K336" s="95"/>
      <c r="L336" s="50"/>
      <c r="M336" s="22"/>
      <c r="N336" s="22" t="s">
        <v>2195</v>
      </c>
      <c r="O336" s="46" t="str">
        <f>VLOOKUP(N336,Datos!$BJ$5:$BL$334,2,FALSE)</f>
        <v>ESPECIE</v>
      </c>
      <c r="P336" s="46" t="str">
        <f>VLOOKUP(N336,Datos!$BJ$5:$BL$334,3,FALSE)</f>
        <v>SUBESPECIE</v>
      </c>
      <c r="Q336" s="22"/>
      <c r="R336" s="65"/>
      <c r="S336" s="65"/>
      <c r="T336" s="65"/>
      <c r="U336" s="45"/>
    </row>
    <row r="337" spans="1:21" hidden="1">
      <c r="A337" s="58">
        <v>456</v>
      </c>
      <c r="B337" s="61"/>
      <c r="C337" s="49" t="s">
        <v>2492</v>
      </c>
      <c r="D337" s="49" t="s">
        <v>2492</v>
      </c>
      <c r="E337" s="64" t="s">
        <v>2492</v>
      </c>
      <c r="F337" s="22"/>
      <c r="G337" s="22"/>
      <c r="H337" s="22"/>
      <c r="I337" s="22"/>
      <c r="J337" s="22"/>
      <c r="K337" s="95"/>
      <c r="L337" s="50"/>
      <c r="M337" s="22"/>
      <c r="N337" s="22" t="s">
        <v>2195</v>
      </c>
      <c r="O337" s="46" t="str">
        <f>VLOOKUP(N337,Datos!$BJ$5:$BL$334,2,FALSE)</f>
        <v>ESPECIE</v>
      </c>
      <c r="P337" s="46" t="str">
        <f>VLOOKUP(N337,Datos!$BJ$5:$BL$334,3,FALSE)</f>
        <v>SUBESPECIE</v>
      </c>
      <c r="Q337" s="22"/>
      <c r="R337" s="65"/>
      <c r="S337" s="65"/>
      <c r="T337" s="65"/>
      <c r="U337" s="45"/>
    </row>
    <row r="338" spans="1:21" hidden="1">
      <c r="A338" s="58">
        <v>457</v>
      </c>
      <c r="B338" s="61"/>
      <c r="C338" s="49" t="s">
        <v>2492</v>
      </c>
      <c r="D338" s="49" t="s">
        <v>2492</v>
      </c>
      <c r="E338" s="64" t="s">
        <v>2492</v>
      </c>
      <c r="F338" s="22"/>
      <c r="G338" s="22"/>
      <c r="H338" s="22"/>
      <c r="I338" s="22"/>
      <c r="J338" s="22"/>
      <c r="K338" s="95"/>
      <c r="L338" s="50"/>
      <c r="M338" s="22"/>
      <c r="N338" s="22" t="s">
        <v>2195</v>
      </c>
      <c r="O338" s="46" t="str">
        <f>VLOOKUP(N338,Datos!$BJ$5:$BL$334,2,FALSE)</f>
        <v>ESPECIE</v>
      </c>
      <c r="P338" s="46" t="str">
        <f>VLOOKUP(N338,Datos!$BJ$5:$BL$334,3,FALSE)</f>
        <v>SUBESPECIE</v>
      </c>
      <c r="Q338" s="22"/>
      <c r="R338" s="65"/>
      <c r="S338" s="65"/>
      <c r="T338" s="65"/>
      <c r="U338" s="45"/>
    </row>
    <row r="339" spans="1:21" hidden="1">
      <c r="A339" s="58">
        <v>458</v>
      </c>
      <c r="B339" s="61"/>
      <c r="C339" s="49" t="s">
        <v>2492</v>
      </c>
      <c r="D339" s="49" t="s">
        <v>2492</v>
      </c>
      <c r="E339" s="64" t="s">
        <v>2492</v>
      </c>
      <c r="F339" s="22"/>
      <c r="G339" s="22"/>
      <c r="H339" s="22"/>
      <c r="I339" s="22"/>
      <c r="J339" s="22"/>
      <c r="K339" s="95"/>
      <c r="L339" s="50"/>
      <c r="M339" s="22"/>
      <c r="N339" s="22" t="s">
        <v>2195</v>
      </c>
      <c r="O339" s="46" t="str">
        <f>VLOOKUP(N339,Datos!$BJ$5:$BL$334,2,FALSE)</f>
        <v>ESPECIE</v>
      </c>
      <c r="P339" s="46" t="str">
        <f>VLOOKUP(N339,Datos!$BJ$5:$BL$334,3,FALSE)</f>
        <v>SUBESPECIE</v>
      </c>
      <c r="Q339" s="22"/>
      <c r="R339" s="65"/>
      <c r="S339" s="65"/>
      <c r="T339" s="65"/>
      <c r="U339" s="45"/>
    </row>
    <row r="340" spans="1:21" hidden="1">
      <c r="A340" s="58">
        <v>459</v>
      </c>
      <c r="B340" s="61"/>
      <c r="C340" s="49" t="s">
        <v>2492</v>
      </c>
      <c r="D340" s="49" t="s">
        <v>2492</v>
      </c>
      <c r="E340" s="64" t="s">
        <v>2492</v>
      </c>
      <c r="F340" s="22"/>
      <c r="G340" s="22"/>
      <c r="H340" s="22"/>
      <c r="I340" s="22"/>
      <c r="J340" s="22"/>
      <c r="K340" s="95"/>
      <c r="L340" s="50"/>
      <c r="M340" s="22"/>
      <c r="N340" s="22" t="s">
        <v>2195</v>
      </c>
      <c r="O340" s="46" t="str">
        <f>VLOOKUP(N340,Datos!$BJ$5:$BL$334,2,FALSE)</f>
        <v>ESPECIE</v>
      </c>
      <c r="P340" s="46" t="str">
        <f>VLOOKUP(N340,Datos!$BJ$5:$BL$334,3,FALSE)</f>
        <v>SUBESPECIE</v>
      </c>
      <c r="Q340" s="22"/>
      <c r="R340" s="65"/>
      <c r="S340" s="65"/>
      <c r="T340" s="65"/>
      <c r="U340" s="45"/>
    </row>
    <row r="341" spans="1:21" hidden="1">
      <c r="A341" s="58">
        <v>460</v>
      </c>
      <c r="B341" s="61"/>
      <c r="C341" s="49" t="s">
        <v>2492</v>
      </c>
      <c r="D341" s="49" t="s">
        <v>2492</v>
      </c>
      <c r="E341" s="64" t="s">
        <v>2492</v>
      </c>
      <c r="F341" s="22"/>
      <c r="G341" s="22"/>
      <c r="H341" s="22"/>
      <c r="I341" s="22"/>
      <c r="J341" s="22"/>
      <c r="K341" s="95"/>
      <c r="L341" s="50"/>
      <c r="M341" s="22"/>
      <c r="N341" s="22" t="s">
        <v>2195</v>
      </c>
      <c r="O341" s="46" t="str">
        <f>VLOOKUP(N341,Datos!$BJ$5:$BL$334,2,FALSE)</f>
        <v>ESPECIE</v>
      </c>
      <c r="P341" s="46" t="str">
        <f>VLOOKUP(N341,Datos!$BJ$5:$BL$334,3,FALSE)</f>
        <v>SUBESPECIE</v>
      </c>
      <c r="Q341" s="22"/>
      <c r="R341" s="65"/>
      <c r="S341" s="65"/>
      <c r="T341" s="65"/>
      <c r="U341" s="45"/>
    </row>
    <row r="342" spans="1:21" hidden="1">
      <c r="A342" s="58">
        <v>461</v>
      </c>
      <c r="B342" s="61"/>
      <c r="C342" s="49" t="s">
        <v>2492</v>
      </c>
      <c r="D342" s="49" t="s">
        <v>2492</v>
      </c>
      <c r="E342" s="64" t="s">
        <v>2492</v>
      </c>
      <c r="F342" s="22"/>
      <c r="G342" s="22"/>
      <c r="H342" s="22"/>
      <c r="I342" s="22"/>
      <c r="J342" s="22"/>
      <c r="K342" s="95"/>
      <c r="L342" s="50"/>
      <c r="M342" s="22"/>
      <c r="N342" s="22" t="s">
        <v>2195</v>
      </c>
      <c r="O342" s="46" t="str">
        <f>VLOOKUP(N342,Datos!$BJ$5:$BL$334,2,FALSE)</f>
        <v>ESPECIE</v>
      </c>
      <c r="P342" s="46" t="str">
        <f>VLOOKUP(N342,Datos!$BJ$5:$BL$334,3,FALSE)</f>
        <v>SUBESPECIE</v>
      </c>
      <c r="Q342" s="22"/>
      <c r="R342" s="65"/>
      <c r="S342" s="65"/>
      <c r="T342" s="65"/>
      <c r="U342" s="45"/>
    </row>
    <row r="343" spans="1:21" hidden="1">
      <c r="A343" s="58">
        <v>462</v>
      </c>
      <c r="B343" s="61"/>
      <c r="C343" s="49" t="s">
        <v>2492</v>
      </c>
      <c r="D343" s="49" t="s">
        <v>2492</v>
      </c>
      <c r="E343" s="64" t="s">
        <v>2492</v>
      </c>
      <c r="F343" s="22"/>
      <c r="G343" s="22"/>
      <c r="H343" s="22"/>
      <c r="I343" s="22"/>
      <c r="J343" s="22"/>
      <c r="K343" s="95"/>
      <c r="L343" s="50"/>
      <c r="M343" s="22"/>
      <c r="N343" s="22" t="s">
        <v>2195</v>
      </c>
      <c r="O343" s="46" t="str">
        <f>VLOOKUP(N343,Datos!$BJ$5:$BL$334,2,FALSE)</f>
        <v>ESPECIE</v>
      </c>
      <c r="P343" s="46" t="str">
        <f>VLOOKUP(N343,Datos!$BJ$5:$BL$334,3,FALSE)</f>
        <v>SUBESPECIE</v>
      </c>
      <c r="Q343" s="22"/>
      <c r="R343" s="65"/>
      <c r="S343" s="65"/>
      <c r="T343" s="65"/>
      <c r="U343" s="45"/>
    </row>
    <row r="344" spans="1:21" hidden="1">
      <c r="A344" s="58">
        <v>463</v>
      </c>
      <c r="B344" s="61"/>
      <c r="C344" s="49" t="s">
        <v>2492</v>
      </c>
      <c r="D344" s="49" t="s">
        <v>2492</v>
      </c>
      <c r="E344" s="64" t="s">
        <v>2492</v>
      </c>
      <c r="F344" s="22"/>
      <c r="G344" s="22"/>
      <c r="H344" s="22"/>
      <c r="I344" s="22"/>
      <c r="J344" s="22"/>
      <c r="K344" s="95"/>
      <c r="L344" s="50"/>
      <c r="M344" s="22"/>
      <c r="N344" s="22" t="s">
        <v>2195</v>
      </c>
      <c r="O344" s="46" t="str">
        <f>VLOOKUP(N344,Datos!$BJ$5:$BL$334,2,FALSE)</f>
        <v>ESPECIE</v>
      </c>
      <c r="P344" s="46" t="str">
        <f>VLOOKUP(N344,Datos!$BJ$5:$BL$334,3,FALSE)</f>
        <v>SUBESPECIE</v>
      </c>
      <c r="Q344" s="22"/>
      <c r="R344" s="65"/>
      <c r="S344" s="65"/>
      <c r="T344" s="65"/>
      <c r="U344" s="45"/>
    </row>
    <row r="345" spans="1:21" hidden="1">
      <c r="A345" s="58">
        <v>464</v>
      </c>
      <c r="B345" s="61"/>
      <c r="C345" s="49" t="s">
        <v>2492</v>
      </c>
      <c r="D345" s="49" t="s">
        <v>2492</v>
      </c>
      <c r="E345" s="64" t="s">
        <v>2492</v>
      </c>
      <c r="F345" s="22"/>
      <c r="G345" s="22"/>
      <c r="H345" s="22"/>
      <c r="I345" s="22"/>
      <c r="J345" s="22"/>
      <c r="K345" s="95"/>
      <c r="L345" s="50"/>
      <c r="M345" s="22"/>
      <c r="N345" s="22" t="s">
        <v>2195</v>
      </c>
      <c r="O345" s="46" t="str">
        <f>VLOOKUP(N345,Datos!$BJ$5:$BL$334,2,FALSE)</f>
        <v>ESPECIE</v>
      </c>
      <c r="P345" s="46" t="str">
        <f>VLOOKUP(N345,Datos!$BJ$5:$BL$334,3,FALSE)</f>
        <v>SUBESPECIE</v>
      </c>
      <c r="Q345" s="22"/>
      <c r="R345" s="65"/>
      <c r="S345" s="65"/>
      <c r="T345" s="65"/>
      <c r="U345" s="45"/>
    </row>
    <row r="346" spans="1:21" hidden="1">
      <c r="A346" s="58">
        <v>465</v>
      </c>
      <c r="B346" s="61"/>
      <c r="C346" s="49" t="s">
        <v>2492</v>
      </c>
      <c r="D346" s="49" t="s">
        <v>2492</v>
      </c>
      <c r="E346" s="64" t="s">
        <v>2492</v>
      </c>
      <c r="F346" s="22"/>
      <c r="G346" s="22"/>
      <c r="H346" s="22"/>
      <c r="I346" s="22"/>
      <c r="J346" s="22"/>
      <c r="K346" s="95"/>
      <c r="L346" s="50"/>
      <c r="M346" s="22"/>
      <c r="N346" s="22" t="s">
        <v>2195</v>
      </c>
      <c r="O346" s="46" t="str">
        <f>VLOOKUP(N346,Datos!$BJ$5:$BL$334,2,FALSE)</f>
        <v>ESPECIE</v>
      </c>
      <c r="P346" s="46" t="str">
        <f>VLOOKUP(N346,Datos!$BJ$5:$BL$334,3,FALSE)</f>
        <v>SUBESPECIE</v>
      </c>
      <c r="Q346" s="22"/>
      <c r="R346" s="65"/>
      <c r="S346" s="65"/>
      <c r="T346" s="65"/>
      <c r="U346" s="45"/>
    </row>
    <row r="347" spans="1:21" hidden="1">
      <c r="A347" s="58">
        <v>466</v>
      </c>
      <c r="B347" s="61"/>
      <c r="C347" s="49" t="s">
        <v>2492</v>
      </c>
      <c r="D347" s="49" t="s">
        <v>2492</v>
      </c>
      <c r="E347" s="64" t="s">
        <v>2492</v>
      </c>
      <c r="F347" s="22"/>
      <c r="G347" s="22"/>
      <c r="H347" s="22"/>
      <c r="I347" s="22"/>
      <c r="J347" s="22"/>
      <c r="K347" s="95"/>
      <c r="L347" s="50"/>
      <c r="M347" s="22"/>
      <c r="N347" s="22" t="s">
        <v>2195</v>
      </c>
      <c r="O347" s="46" t="str">
        <f>VLOOKUP(N347,Datos!$BJ$5:$BL$334,2,FALSE)</f>
        <v>ESPECIE</v>
      </c>
      <c r="P347" s="46" t="str">
        <f>VLOOKUP(N347,Datos!$BJ$5:$BL$334,3,FALSE)</f>
        <v>SUBESPECIE</v>
      </c>
      <c r="Q347" s="22"/>
      <c r="R347" s="65"/>
      <c r="S347" s="65"/>
      <c r="T347" s="65"/>
      <c r="U347" s="45"/>
    </row>
    <row r="348" spans="1:21" hidden="1">
      <c r="A348" s="58">
        <v>467</v>
      </c>
      <c r="B348" s="61"/>
      <c r="C348" s="49" t="s">
        <v>2492</v>
      </c>
      <c r="D348" s="49" t="s">
        <v>2492</v>
      </c>
      <c r="E348" s="64" t="s">
        <v>2492</v>
      </c>
      <c r="F348" s="22"/>
      <c r="G348" s="22"/>
      <c r="H348" s="22"/>
      <c r="I348" s="22"/>
      <c r="J348" s="22"/>
      <c r="K348" s="95"/>
      <c r="L348" s="50"/>
      <c r="M348" s="22"/>
      <c r="N348" s="22" t="s">
        <v>2195</v>
      </c>
      <c r="O348" s="46" t="str">
        <f>VLOOKUP(N348,Datos!$BJ$5:$BL$334,2,FALSE)</f>
        <v>ESPECIE</v>
      </c>
      <c r="P348" s="46" t="str">
        <f>VLOOKUP(N348,Datos!$BJ$5:$BL$334,3,FALSE)</f>
        <v>SUBESPECIE</v>
      </c>
      <c r="Q348" s="22"/>
      <c r="R348" s="65"/>
      <c r="S348" s="65"/>
      <c r="T348" s="65"/>
      <c r="U348" s="45"/>
    </row>
    <row r="349" spans="1:21" hidden="1">
      <c r="A349" s="58">
        <v>468</v>
      </c>
      <c r="B349" s="61"/>
      <c r="C349" s="49" t="s">
        <v>2492</v>
      </c>
      <c r="D349" s="49" t="s">
        <v>2492</v>
      </c>
      <c r="E349" s="64" t="s">
        <v>2492</v>
      </c>
      <c r="F349" s="22"/>
      <c r="G349" s="22"/>
      <c r="H349" s="22"/>
      <c r="I349" s="22"/>
      <c r="J349" s="22"/>
      <c r="K349" s="95"/>
      <c r="L349" s="50"/>
      <c r="M349" s="22"/>
      <c r="N349" s="22" t="s">
        <v>2195</v>
      </c>
      <c r="O349" s="46" t="str">
        <f>VLOOKUP(N349,Datos!$BJ$5:$BL$334,2,FALSE)</f>
        <v>ESPECIE</v>
      </c>
      <c r="P349" s="46" t="str">
        <f>VLOOKUP(N349,Datos!$BJ$5:$BL$334,3,FALSE)</f>
        <v>SUBESPECIE</v>
      </c>
      <c r="Q349" s="22"/>
      <c r="R349" s="65"/>
      <c r="S349" s="65"/>
      <c r="T349" s="65"/>
      <c r="U349" s="45"/>
    </row>
    <row r="350" spans="1:21" hidden="1">
      <c r="A350" s="58">
        <v>469</v>
      </c>
      <c r="B350" s="61"/>
      <c r="C350" s="49" t="s">
        <v>2492</v>
      </c>
      <c r="D350" s="49" t="s">
        <v>2492</v>
      </c>
      <c r="E350" s="64" t="s">
        <v>2492</v>
      </c>
      <c r="F350" s="22"/>
      <c r="G350" s="22"/>
      <c r="H350" s="22"/>
      <c r="I350" s="22"/>
      <c r="J350" s="22"/>
      <c r="K350" s="95"/>
      <c r="L350" s="50"/>
      <c r="M350" s="22"/>
      <c r="N350" s="22" t="s">
        <v>2195</v>
      </c>
      <c r="O350" s="46" t="str">
        <f>VLOOKUP(N350,Datos!$BJ$5:$BL$334,2,FALSE)</f>
        <v>ESPECIE</v>
      </c>
      <c r="P350" s="46" t="str">
        <f>VLOOKUP(N350,Datos!$BJ$5:$BL$334,3,FALSE)</f>
        <v>SUBESPECIE</v>
      </c>
      <c r="Q350" s="22"/>
      <c r="R350" s="65"/>
      <c r="S350" s="65"/>
      <c r="T350" s="65"/>
      <c r="U350" s="45"/>
    </row>
    <row r="351" spans="1:21" hidden="1">
      <c r="A351" s="58">
        <v>470</v>
      </c>
      <c r="B351" s="61"/>
      <c r="C351" s="49" t="s">
        <v>2492</v>
      </c>
      <c r="D351" s="49" t="s">
        <v>2492</v>
      </c>
      <c r="E351" s="64" t="s">
        <v>2492</v>
      </c>
      <c r="F351" s="22"/>
      <c r="G351" s="22"/>
      <c r="H351" s="22"/>
      <c r="I351" s="22"/>
      <c r="J351" s="22"/>
      <c r="K351" s="95"/>
      <c r="L351" s="50"/>
      <c r="M351" s="22"/>
      <c r="N351" s="22" t="s">
        <v>2195</v>
      </c>
      <c r="O351" s="46" t="str">
        <f>VLOOKUP(N351,Datos!$BJ$5:$BL$334,2,FALSE)</f>
        <v>ESPECIE</v>
      </c>
      <c r="P351" s="46" t="str">
        <f>VLOOKUP(N351,Datos!$BJ$5:$BL$334,3,FALSE)</f>
        <v>SUBESPECIE</v>
      </c>
      <c r="Q351" s="22"/>
      <c r="R351" s="65"/>
      <c r="S351" s="65"/>
      <c r="T351" s="65"/>
      <c r="U351" s="45"/>
    </row>
    <row r="352" spans="1:21" hidden="1">
      <c r="A352" s="58">
        <v>471</v>
      </c>
      <c r="B352" s="61"/>
      <c r="C352" s="49" t="s">
        <v>2492</v>
      </c>
      <c r="D352" s="49" t="s">
        <v>2492</v>
      </c>
      <c r="E352" s="64" t="s">
        <v>2492</v>
      </c>
      <c r="F352" s="22"/>
      <c r="G352" s="22"/>
      <c r="H352" s="22"/>
      <c r="I352" s="22"/>
      <c r="J352" s="22"/>
      <c r="K352" s="95"/>
      <c r="L352" s="50"/>
      <c r="M352" s="22"/>
      <c r="N352" s="22" t="s">
        <v>2195</v>
      </c>
      <c r="O352" s="46" t="str">
        <f>VLOOKUP(N352,Datos!$BJ$5:$BL$334,2,FALSE)</f>
        <v>ESPECIE</v>
      </c>
      <c r="P352" s="46" t="str">
        <f>VLOOKUP(N352,Datos!$BJ$5:$BL$334,3,FALSE)</f>
        <v>SUBESPECIE</v>
      </c>
      <c r="Q352" s="22"/>
      <c r="R352" s="65"/>
      <c r="S352" s="65"/>
      <c r="T352" s="65"/>
      <c r="U352" s="45"/>
    </row>
    <row r="353" spans="1:21" hidden="1">
      <c r="A353" s="58">
        <v>472</v>
      </c>
      <c r="B353" s="61"/>
      <c r="C353" s="49" t="s">
        <v>2492</v>
      </c>
      <c r="D353" s="49" t="s">
        <v>2492</v>
      </c>
      <c r="E353" s="64" t="s">
        <v>2492</v>
      </c>
      <c r="F353" s="22"/>
      <c r="G353" s="22"/>
      <c r="H353" s="22"/>
      <c r="I353" s="22"/>
      <c r="J353" s="22"/>
      <c r="K353" s="95"/>
      <c r="L353" s="50"/>
      <c r="M353" s="22"/>
      <c r="N353" s="22" t="s">
        <v>2195</v>
      </c>
      <c r="O353" s="46" t="str">
        <f>VLOOKUP(N353,Datos!$BJ$5:$BL$334,2,FALSE)</f>
        <v>ESPECIE</v>
      </c>
      <c r="P353" s="46" t="str">
        <f>VLOOKUP(N353,Datos!$BJ$5:$BL$334,3,FALSE)</f>
        <v>SUBESPECIE</v>
      </c>
      <c r="Q353" s="22"/>
      <c r="R353" s="65"/>
      <c r="S353" s="65"/>
      <c r="T353" s="65"/>
      <c r="U353" s="45"/>
    </row>
    <row r="354" spans="1:21" hidden="1">
      <c r="A354" s="58">
        <v>473</v>
      </c>
      <c r="B354" s="61"/>
      <c r="C354" s="49" t="s">
        <v>2492</v>
      </c>
      <c r="D354" s="49" t="s">
        <v>2492</v>
      </c>
      <c r="E354" s="64" t="s">
        <v>2492</v>
      </c>
      <c r="F354" s="22"/>
      <c r="G354" s="22"/>
      <c r="H354" s="22"/>
      <c r="I354" s="22"/>
      <c r="J354" s="22"/>
      <c r="K354" s="95"/>
      <c r="L354" s="50"/>
      <c r="M354" s="22"/>
      <c r="N354" s="22" t="s">
        <v>2195</v>
      </c>
      <c r="O354" s="46" t="str">
        <f>VLOOKUP(N354,Datos!$BJ$5:$BL$334,2,FALSE)</f>
        <v>ESPECIE</v>
      </c>
      <c r="P354" s="46" t="str">
        <f>VLOOKUP(N354,Datos!$BJ$5:$BL$334,3,FALSE)</f>
        <v>SUBESPECIE</v>
      </c>
      <c r="Q354" s="22"/>
      <c r="R354" s="65"/>
      <c r="S354" s="65"/>
      <c r="T354" s="65"/>
      <c r="U354" s="45"/>
    </row>
    <row r="355" spans="1:21" hidden="1">
      <c r="A355" s="58">
        <v>474</v>
      </c>
      <c r="B355" s="61"/>
      <c r="C355" s="49" t="s">
        <v>2492</v>
      </c>
      <c r="D355" s="49" t="s">
        <v>2492</v>
      </c>
      <c r="E355" s="64" t="s">
        <v>2492</v>
      </c>
      <c r="F355" s="22"/>
      <c r="G355" s="22"/>
      <c r="H355" s="22"/>
      <c r="I355" s="22"/>
      <c r="J355" s="22"/>
      <c r="K355" s="95"/>
      <c r="L355" s="50"/>
      <c r="M355" s="22"/>
      <c r="N355" s="22" t="s">
        <v>2195</v>
      </c>
      <c r="O355" s="46" t="str">
        <f>VLOOKUP(N355,Datos!$BJ$5:$BL$334,2,FALSE)</f>
        <v>ESPECIE</v>
      </c>
      <c r="P355" s="46" t="str">
        <f>VLOOKUP(N355,Datos!$BJ$5:$BL$334,3,FALSE)</f>
        <v>SUBESPECIE</v>
      </c>
      <c r="Q355" s="22"/>
      <c r="R355" s="65"/>
      <c r="S355" s="65"/>
      <c r="T355" s="65"/>
      <c r="U355" s="45"/>
    </row>
    <row r="356" spans="1:21" hidden="1">
      <c r="A356" s="58">
        <v>475</v>
      </c>
      <c r="B356" s="61"/>
      <c r="C356" s="49" t="s">
        <v>2492</v>
      </c>
      <c r="D356" s="49" t="s">
        <v>2492</v>
      </c>
      <c r="E356" s="64" t="s">
        <v>2492</v>
      </c>
      <c r="F356" s="22"/>
      <c r="G356" s="22"/>
      <c r="H356" s="22"/>
      <c r="I356" s="22"/>
      <c r="J356" s="22"/>
      <c r="K356" s="95"/>
      <c r="L356" s="50"/>
      <c r="M356" s="22"/>
      <c r="N356" s="22" t="s">
        <v>2195</v>
      </c>
      <c r="O356" s="46" t="str">
        <f>VLOOKUP(N356,Datos!$BJ$5:$BL$334,2,FALSE)</f>
        <v>ESPECIE</v>
      </c>
      <c r="P356" s="46" t="str">
        <f>VLOOKUP(N356,Datos!$BJ$5:$BL$334,3,FALSE)</f>
        <v>SUBESPECIE</v>
      </c>
      <c r="Q356" s="22"/>
      <c r="R356" s="65"/>
      <c r="S356" s="65"/>
      <c r="T356" s="65"/>
      <c r="U356" s="45"/>
    </row>
    <row r="357" spans="1:21" hidden="1">
      <c r="A357" s="58">
        <v>476</v>
      </c>
      <c r="B357" s="61"/>
      <c r="C357" s="49" t="s">
        <v>2492</v>
      </c>
      <c r="D357" s="49" t="s">
        <v>2492</v>
      </c>
      <c r="E357" s="64" t="s">
        <v>2492</v>
      </c>
      <c r="F357" s="22"/>
      <c r="G357" s="22"/>
      <c r="H357" s="22"/>
      <c r="I357" s="22"/>
      <c r="J357" s="22"/>
      <c r="K357" s="95"/>
      <c r="L357" s="50"/>
      <c r="M357" s="22"/>
      <c r="N357" s="22" t="s">
        <v>2195</v>
      </c>
      <c r="O357" s="46" t="str">
        <f>VLOOKUP(N357,Datos!$BJ$5:$BL$334,2,FALSE)</f>
        <v>ESPECIE</v>
      </c>
      <c r="P357" s="46" t="str">
        <f>VLOOKUP(N357,Datos!$BJ$5:$BL$334,3,FALSE)</f>
        <v>SUBESPECIE</v>
      </c>
      <c r="Q357" s="22"/>
      <c r="R357" s="65"/>
      <c r="S357" s="65"/>
      <c r="T357" s="65"/>
      <c r="U357" s="45"/>
    </row>
    <row r="358" spans="1:21" hidden="1">
      <c r="A358" s="58">
        <v>477</v>
      </c>
      <c r="B358" s="61"/>
      <c r="C358" s="49" t="s">
        <v>2492</v>
      </c>
      <c r="D358" s="49" t="s">
        <v>2492</v>
      </c>
      <c r="E358" s="64" t="s">
        <v>2492</v>
      </c>
      <c r="F358" s="22"/>
      <c r="G358" s="22"/>
      <c r="H358" s="22"/>
      <c r="I358" s="22"/>
      <c r="J358" s="22"/>
      <c r="K358" s="95"/>
      <c r="L358" s="50"/>
      <c r="M358" s="22"/>
      <c r="N358" s="22" t="s">
        <v>2195</v>
      </c>
      <c r="O358" s="46" t="str">
        <f>VLOOKUP(N358,Datos!$BJ$5:$BL$334,2,FALSE)</f>
        <v>ESPECIE</v>
      </c>
      <c r="P358" s="46" t="str">
        <f>VLOOKUP(N358,Datos!$BJ$5:$BL$334,3,FALSE)</f>
        <v>SUBESPECIE</v>
      </c>
      <c r="Q358" s="22"/>
      <c r="R358" s="65"/>
      <c r="S358" s="65"/>
      <c r="T358" s="65"/>
      <c r="U358" s="45"/>
    </row>
    <row r="359" spans="1:21" hidden="1">
      <c r="A359" s="58">
        <v>478</v>
      </c>
      <c r="B359" s="61"/>
      <c r="C359" s="49" t="s">
        <v>2492</v>
      </c>
      <c r="D359" s="49" t="s">
        <v>2492</v>
      </c>
      <c r="E359" s="64" t="s">
        <v>2492</v>
      </c>
      <c r="F359" s="22"/>
      <c r="G359" s="22"/>
      <c r="H359" s="22"/>
      <c r="I359" s="22"/>
      <c r="J359" s="22"/>
      <c r="K359" s="95"/>
      <c r="L359" s="50"/>
      <c r="M359" s="22"/>
      <c r="N359" s="22" t="s">
        <v>2195</v>
      </c>
      <c r="O359" s="46" t="str">
        <f>VLOOKUP(N359,Datos!$BJ$5:$BL$334,2,FALSE)</f>
        <v>ESPECIE</v>
      </c>
      <c r="P359" s="46" t="str">
        <f>VLOOKUP(N359,Datos!$BJ$5:$BL$334,3,FALSE)</f>
        <v>SUBESPECIE</v>
      </c>
      <c r="Q359" s="22"/>
      <c r="R359" s="65"/>
      <c r="S359" s="65"/>
      <c r="T359" s="65"/>
      <c r="U359" s="45"/>
    </row>
    <row r="360" spans="1:21" hidden="1">
      <c r="A360" s="58">
        <v>479</v>
      </c>
      <c r="B360" s="61"/>
      <c r="C360" s="49" t="s">
        <v>2492</v>
      </c>
      <c r="D360" s="49" t="s">
        <v>2492</v>
      </c>
      <c r="E360" s="64" t="s">
        <v>2492</v>
      </c>
      <c r="F360" s="22"/>
      <c r="G360" s="22"/>
      <c r="H360" s="22"/>
      <c r="I360" s="22"/>
      <c r="J360" s="22"/>
      <c r="K360" s="95"/>
      <c r="L360" s="50"/>
      <c r="M360" s="22"/>
      <c r="N360" s="22" t="s">
        <v>2195</v>
      </c>
      <c r="O360" s="46" t="str">
        <f>VLOOKUP(N360,Datos!$BJ$5:$BL$334,2,FALSE)</f>
        <v>ESPECIE</v>
      </c>
      <c r="P360" s="46" t="str">
        <f>VLOOKUP(N360,Datos!$BJ$5:$BL$334,3,FALSE)</f>
        <v>SUBESPECIE</v>
      </c>
      <c r="Q360" s="22"/>
      <c r="R360" s="65"/>
      <c r="S360" s="65"/>
      <c r="T360" s="65"/>
      <c r="U360" s="45"/>
    </row>
    <row r="361" spans="1:21" hidden="1">
      <c r="A361" s="58">
        <v>480</v>
      </c>
      <c r="B361" s="61"/>
      <c r="C361" s="49" t="s">
        <v>2492</v>
      </c>
      <c r="D361" s="49" t="s">
        <v>2492</v>
      </c>
      <c r="E361" s="64" t="s">
        <v>2492</v>
      </c>
      <c r="F361" s="22"/>
      <c r="G361" s="22"/>
      <c r="H361" s="22"/>
      <c r="I361" s="22"/>
      <c r="J361" s="22"/>
      <c r="K361" s="95"/>
      <c r="L361" s="50"/>
      <c r="M361" s="22"/>
      <c r="N361" s="22" t="s">
        <v>2195</v>
      </c>
      <c r="O361" s="46" t="str">
        <f>VLOOKUP(N361,Datos!$BJ$5:$BL$334,2,FALSE)</f>
        <v>ESPECIE</v>
      </c>
      <c r="P361" s="46" t="str">
        <f>VLOOKUP(N361,Datos!$BJ$5:$BL$334,3,FALSE)</f>
        <v>SUBESPECIE</v>
      </c>
      <c r="Q361" s="22"/>
      <c r="R361" s="65"/>
      <c r="S361" s="65"/>
      <c r="T361" s="65"/>
      <c r="U361" s="45"/>
    </row>
    <row r="362" spans="1:21" hidden="1">
      <c r="A362" s="58">
        <v>481</v>
      </c>
      <c r="B362" s="61"/>
      <c r="C362" s="49" t="s">
        <v>2492</v>
      </c>
      <c r="D362" s="49" t="s">
        <v>2492</v>
      </c>
      <c r="E362" s="64" t="s">
        <v>2492</v>
      </c>
      <c r="F362" s="22"/>
      <c r="G362" s="22"/>
      <c r="H362" s="22"/>
      <c r="I362" s="22"/>
      <c r="J362" s="22"/>
      <c r="K362" s="95"/>
      <c r="L362" s="50"/>
      <c r="M362" s="22"/>
      <c r="N362" s="22" t="s">
        <v>2195</v>
      </c>
      <c r="O362" s="46" t="str">
        <f>VLOOKUP(N362,Datos!$BJ$5:$BL$334,2,FALSE)</f>
        <v>ESPECIE</v>
      </c>
      <c r="P362" s="46" t="str">
        <f>VLOOKUP(N362,Datos!$BJ$5:$BL$334,3,FALSE)</f>
        <v>SUBESPECIE</v>
      </c>
      <c r="Q362" s="22"/>
      <c r="R362" s="65"/>
      <c r="S362" s="65"/>
      <c r="T362" s="65"/>
      <c r="U362" s="45"/>
    </row>
    <row r="363" spans="1:21" hidden="1">
      <c r="A363" s="58">
        <v>482</v>
      </c>
      <c r="B363" s="61"/>
      <c r="C363" s="49" t="s">
        <v>2492</v>
      </c>
      <c r="D363" s="49" t="s">
        <v>2492</v>
      </c>
      <c r="E363" s="64" t="s">
        <v>2492</v>
      </c>
      <c r="F363" s="22"/>
      <c r="G363" s="22"/>
      <c r="H363" s="22"/>
      <c r="I363" s="22"/>
      <c r="J363" s="22"/>
      <c r="K363" s="95"/>
      <c r="L363" s="50"/>
      <c r="M363" s="22"/>
      <c r="N363" s="22" t="s">
        <v>2195</v>
      </c>
      <c r="O363" s="46" t="str">
        <f>VLOOKUP(N363,Datos!$BJ$5:$BL$334,2,FALSE)</f>
        <v>ESPECIE</v>
      </c>
      <c r="P363" s="46" t="str">
        <f>VLOOKUP(N363,Datos!$BJ$5:$BL$334,3,FALSE)</f>
        <v>SUBESPECIE</v>
      </c>
      <c r="Q363" s="22"/>
      <c r="R363" s="65"/>
      <c r="S363" s="65"/>
      <c r="T363" s="65"/>
      <c r="U363" s="45"/>
    </row>
    <row r="364" spans="1:21" hidden="1">
      <c r="A364" s="58">
        <v>483</v>
      </c>
      <c r="B364" s="61"/>
      <c r="C364" s="49" t="s">
        <v>2492</v>
      </c>
      <c r="D364" s="49" t="s">
        <v>2492</v>
      </c>
      <c r="E364" s="64" t="s">
        <v>2492</v>
      </c>
      <c r="F364" s="22"/>
      <c r="G364" s="22"/>
      <c r="H364" s="22"/>
      <c r="I364" s="22"/>
      <c r="J364" s="22"/>
      <c r="K364" s="95"/>
      <c r="L364" s="50"/>
      <c r="M364" s="22"/>
      <c r="N364" s="22" t="s">
        <v>2195</v>
      </c>
      <c r="O364" s="46" t="str">
        <f>VLOOKUP(N364,Datos!$BJ$5:$BL$334,2,FALSE)</f>
        <v>ESPECIE</v>
      </c>
      <c r="P364" s="46" t="str">
        <f>VLOOKUP(N364,Datos!$BJ$5:$BL$334,3,FALSE)</f>
        <v>SUBESPECIE</v>
      </c>
      <c r="Q364" s="22"/>
      <c r="R364" s="65"/>
      <c r="S364" s="65"/>
      <c r="T364" s="65"/>
      <c r="U364" s="45"/>
    </row>
    <row r="365" spans="1:21" hidden="1">
      <c r="A365" s="58">
        <v>484</v>
      </c>
      <c r="B365" s="61"/>
      <c r="C365" s="49" t="s">
        <v>2492</v>
      </c>
      <c r="D365" s="49" t="s">
        <v>2492</v>
      </c>
      <c r="E365" s="64" t="s">
        <v>2492</v>
      </c>
      <c r="F365" s="22"/>
      <c r="G365" s="22"/>
      <c r="H365" s="22"/>
      <c r="I365" s="22"/>
      <c r="J365" s="22"/>
      <c r="K365" s="95"/>
      <c r="L365" s="50"/>
      <c r="M365" s="22"/>
      <c r="N365" s="22" t="s">
        <v>2195</v>
      </c>
      <c r="O365" s="46" t="str">
        <f>VLOOKUP(N365,Datos!$BJ$5:$BL$334,2,FALSE)</f>
        <v>ESPECIE</v>
      </c>
      <c r="P365" s="46" t="str">
        <f>VLOOKUP(N365,Datos!$BJ$5:$BL$334,3,FALSE)</f>
        <v>SUBESPECIE</v>
      </c>
      <c r="Q365" s="22"/>
      <c r="R365" s="65"/>
      <c r="S365" s="65"/>
      <c r="T365" s="65"/>
      <c r="U365" s="45"/>
    </row>
    <row r="366" spans="1:21" hidden="1">
      <c r="A366" s="58">
        <v>485</v>
      </c>
      <c r="B366" s="61"/>
      <c r="C366" s="49" t="s">
        <v>2492</v>
      </c>
      <c r="D366" s="49" t="s">
        <v>2492</v>
      </c>
      <c r="E366" s="64" t="s">
        <v>2492</v>
      </c>
      <c r="F366" s="22"/>
      <c r="G366" s="22"/>
      <c r="H366" s="22"/>
      <c r="I366" s="22"/>
      <c r="J366" s="22"/>
      <c r="K366" s="95"/>
      <c r="L366" s="50"/>
      <c r="M366" s="22"/>
      <c r="N366" s="22" t="s">
        <v>2195</v>
      </c>
      <c r="O366" s="46" t="str">
        <f>VLOOKUP(N366,Datos!$BJ$5:$BL$334,2,FALSE)</f>
        <v>ESPECIE</v>
      </c>
      <c r="P366" s="46" t="str">
        <f>VLOOKUP(N366,Datos!$BJ$5:$BL$334,3,FALSE)</f>
        <v>SUBESPECIE</v>
      </c>
      <c r="Q366" s="22"/>
      <c r="R366" s="65"/>
      <c r="S366" s="65"/>
      <c r="T366" s="65"/>
      <c r="U366" s="45"/>
    </row>
    <row r="367" spans="1:21" hidden="1">
      <c r="A367" s="58">
        <v>486</v>
      </c>
      <c r="B367" s="61"/>
      <c r="C367" s="49" t="s">
        <v>2492</v>
      </c>
      <c r="D367" s="49" t="s">
        <v>2492</v>
      </c>
      <c r="E367" s="64" t="s">
        <v>2492</v>
      </c>
      <c r="F367" s="22"/>
      <c r="G367" s="22"/>
      <c r="H367" s="22"/>
      <c r="I367" s="22"/>
      <c r="J367" s="22"/>
      <c r="K367" s="95"/>
      <c r="L367" s="50"/>
      <c r="M367" s="22"/>
      <c r="N367" s="22" t="s">
        <v>2195</v>
      </c>
      <c r="O367" s="46" t="str">
        <f>VLOOKUP(N367,Datos!$BJ$5:$BL$334,2,FALSE)</f>
        <v>ESPECIE</v>
      </c>
      <c r="P367" s="46" t="str">
        <f>VLOOKUP(N367,Datos!$BJ$5:$BL$334,3,FALSE)</f>
        <v>SUBESPECIE</v>
      </c>
      <c r="Q367" s="22"/>
      <c r="R367" s="65"/>
      <c r="S367" s="65"/>
      <c r="T367" s="65"/>
      <c r="U367" s="45"/>
    </row>
    <row r="368" spans="1:21" hidden="1">
      <c r="A368" s="58">
        <v>487</v>
      </c>
      <c r="B368" s="61"/>
      <c r="C368" s="49" t="s">
        <v>2492</v>
      </c>
      <c r="D368" s="49" t="s">
        <v>2492</v>
      </c>
      <c r="E368" s="64" t="s">
        <v>2492</v>
      </c>
      <c r="F368" s="22"/>
      <c r="G368" s="22"/>
      <c r="H368" s="22"/>
      <c r="I368" s="22"/>
      <c r="J368" s="22"/>
      <c r="K368" s="95"/>
      <c r="L368" s="50"/>
      <c r="M368" s="22"/>
      <c r="N368" s="22" t="s">
        <v>2195</v>
      </c>
      <c r="O368" s="46" t="str">
        <f>VLOOKUP(N368,Datos!$BJ$5:$BL$334,2,FALSE)</f>
        <v>ESPECIE</v>
      </c>
      <c r="P368" s="46" t="str">
        <f>VLOOKUP(N368,Datos!$BJ$5:$BL$334,3,FALSE)</f>
        <v>SUBESPECIE</v>
      </c>
      <c r="Q368" s="22"/>
      <c r="R368" s="65"/>
      <c r="S368" s="65"/>
      <c r="T368" s="65"/>
      <c r="U368" s="45"/>
    </row>
    <row r="369" spans="1:21" hidden="1">
      <c r="A369" s="58">
        <v>488</v>
      </c>
      <c r="B369" s="61"/>
      <c r="C369" s="49" t="s">
        <v>2492</v>
      </c>
      <c r="D369" s="49" t="s">
        <v>2492</v>
      </c>
      <c r="E369" s="64" t="s">
        <v>2492</v>
      </c>
      <c r="F369" s="22"/>
      <c r="G369" s="22"/>
      <c r="H369" s="22"/>
      <c r="I369" s="22"/>
      <c r="J369" s="22"/>
      <c r="K369" s="95"/>
      <c r="L369" s="50"/>
      <c r="M369" s="22"/>
      <c r="N369" s="22" t="s">
        <v>2195</v>
      </c>
      <c r="O369" s="46" t="str">
        <f>VLOOKUP(N369,Datos!$BJ$5:$BL$334,2,FALSE)</f>
        <v>ESPECIE</v>
      </c>
      <c r="P369" s="46" t="str">
        <f>VLOOKUP(N369,Datos!$BJ$5:$BL$334,3,FALSE)</f>
        <v>SUBESPECIE</v>
      </c>
      <c r="Q369" s="22"/>
      <c r="R369" s="65"/>
      <c r="S369" s="65"/>
      <c r="T369" s="65"/>
      <c r="U369" s="45"/>
    </row>
    <row r="370" spans="1:21" hidden="1">
      <c r="A370" s="58">
        <v>489</v>
      </c>
      <c r="B370" s="61"/>
      <c r="C370" s="49" t="s">
        <v>2492</v>
      </c>
      <c r="D370" s="49" t="s">
        <v>2492</v>
      </c>
      <c r="E370" s="64" t="s">
        <v>2492</v>
      </c>
      <c r="F370" s="22"/>
      <c r="G370" s="22"/>
      <c r="H370" s="22"/>
      <c r="I370" s="22"/>
      <c r="J370" s="22"/>
      <c r="K370" s="95"/>
      <c r="L370" s="50"/>
      <c r="M370" s="22"/>
      <c r="N370" s="22" t="s">
        <v>2195</v>
      </c>
      <c r="O370" s="46" t="str">
        <f>VLOOKUP(N370,Datos!$BJ$5:$BL$334,2,FALSE)</f>
        <v>ESPECIE</v>
      </c>
      <c r="P370" s="46" t="str">
        <f>VLOOKUP(N370,Datos!$BJ$5:$BL$334,3,FALSE)</f>
        <v>SUBESPECIE</v>
      </c>
      <c r="Q370" s="22"/>
      <c r="R370" s="65"/>
      <c r="S370" s="65"/>
      <c r="T370" s="65"/>
      <c r="U370" s="45"/>
    </row>
    <row r="371" spans="1:21" hidden="1">
      <c r="A371" s="58">
        <v>490</v>
      </c>
      <c r="B371" s="61"/>
      <c r="C371" s="49" t="s">
        <v>2492</v>
      </c>
      <c r="D371" s="49" t="s">
        <v>2492</v>
      </c>
      <c r="E371" s="64" t="s">
        <v>2492</v>
      </c>
      <c r="F371" s="22"/>
      <c r="G371" s="22"/>
      <c r="H371" s="22"/>
      <c r="I371" s="22"/>
      <c r="J371" s="22"/>
      <c r="K371" s="95"/>
      <c r="L371" s="50"/>
      <c r="M371" s="22"/>
      <c r="N371" s="22" t="s">
        <v>2195</v>
      </c>
      <c r="O371" s="46" t="str">
        <f>VLOOKUP(N371,Datos!$BJ$5:$BL$334,2,FALSE)</f>
        <v>ESPECIE</v>
      </c>
      <c r="P371" s="46" t="str">
        <f>VLOOKUP(N371,Datos!$BJ$5:$BL$334,3,FALSE)</f>
        <v>SUBESPECIE</v>
      </c>
      <c r="Q371" s="22"/>
      <c r="R371" s="65"/>
      <c r="S371" s="65"/>
      <c r="T371" s="65"/>
      <c r="U371" s="45"/>
    </row>
    <row r="372" spans="1:21" hidden="1">
      <c r="A372" s="58">
        <v>491</v>
      </c>
      <c r="B372" s="61"/>
      <c r="C372" s="49" t="s">
        <v>2492</v>
      </c>
      <c r="D372" s="49" t="s">
        <v>2492</v>
      </c>
      <c r="E372" s="64" t="s">
        <v>2492</v>
      </c>
      <c r="F372" s="22"/>
      <c r="G372" s="22"/>
      <c r="H372" s="22"/>
      <c r="I372" s="22"/>
      <c r="J372" s="22"/>
      <c r="K372" s="95"/>
      <c r="L372" s="50"/>
      <c r="M372" s="22"/>
      <c r="N372" s="22" t="s">
        <v>2195</v>
      </c>
      <c r="O372" s="46" t="str">
        <f>VLOOKUP(N372,Datos!$BJ$5:$BL$334,2,FALSE)</f>
        <v>ESPECIE</v>
      </c>
      <c r="P372" s="46" t="str">
        <f>VLOOKUP(N372,Datos!$BJ$5:$BL$334,3,FALSE)</f>
        <v>SUBESPECIE</v>
      </c>
      <c r="Q372" s="22"/>
      <c r="R372" s="65"/>
      <c r="S372" s="65"/>
      <c r="T372" s="65"/>
      <c r="U372" s="45"/>
    </row>
    <row r="373" spans="1:21" hidden="1">
      <c r="A373" s="58">
        <v>492</v>
      </c>
      <c r="B373" s="61"/>
      <c r="C373" s="49" t="s">
        <v>2492</v>
      </c>
      <c r="D373" s="49" t="s">
        <v>2492</v>
      </c>
      <c r="E373" s="64" t="s">
        <v>2492</v>
      </c>
      <c r="F373" s="22"/>
      <c r="G373" s="22"/>
      <c r="H373" s="22"/>
      <c r="I373" s="22"/>
      <c r="J373" s="22"/>
      <c r="K373" s="95"/>
      <c r="L373" s="50"/>
      <c r="M373" s="22"/>
      <c r="N373" s="22" t="s">
        <v>2195</v>
      </c>
      <c r="O373" s="46" t="str">
        <f>VLOOKUP(N373,Datos!$BJ$5:$BL$334,2,FALSE)</f>
        <v>ESPECIE</v>
      </c>
      <c r="P373" s="46" t="str">
        <f>VLOOKUP(N373,Datos!$BJ$5:$BL$334,3,FALSE)</f>
        <v>SUBESPECIE</v>
      </c>
      <c r="Q373" s="22"/>
      <c r="R373" s="65"/>
      <c r="S373" s="65"/>
      <c r="T373" s="65"/>
      <c r="U373" s="45"/>
    </row>
    <row r="374" spans="1:21" hidden="1">
      <c r="A374" s="58">
        <v>493</v>
      </c>
      <c r="B374" s="61"/>
      <c r="C374" s="49" t="s">
        <v>2492</v>
      </c>
      <c r="D374" s="49" t="s">
        <v>2492</v>
      </c>
      <c r="E374" s="64" t="s">
        <v>2492</v>
      </c>
      <c r="F374" s="22"/>
      <c r="G374" s="22"/>
      <c r="H374" s="22"/>
      <c r="I374" s="22"/>
      <c r="J374" s="22"/>
      <c r="K374" s="95"/>
      <c r="L374" s="50"/>
      <c r="M374" s="22"/>
      <c r="N374" s="22" t="s">
        <v>2195</v>
      </c>
      <c r="O374" s="46" t="str">
        <f>VLOOKUP(N374,Datos!$BJ$5:$BL$334,2,FALSE)</f>
        <v>ESPECIE</v>
      </c>
      <c r="P374" s="46" t="str">
        <f>VLOOKUP(N374,Datos!$BJ$5:$BL$334,3,FALSE)</f>
        <v>SUBESPECIE</v>
      </c>
      <c r="Q374" s="22"/>
      <c r="R374" s="65"/>
      <c r="S374" s="65"/>
      <c r="T374" s="65"/>
      <c r="U374" s="45"/>
    </row>
    <row r="375" spans="1:21" hidden="1">
      <c r="A375" s="58">
        <v>494</v>
      </c>
      <c r="B375" s="61"/>
      <c r="C375" s="49" t="s">
        <v>2492</v>
      </c>
      <c r="D375" s="49" t="s">
        <v>2492</v>
      </c>
      <c r="E375" s="64" t="s">
        <v>2492</v>
      </c>
      <c r="F375" s="22"/>
      <c r="G375" s="22"/>
      <c r="H375" s="22"/>
      <c r="I375" s="22"/>
      <c r="J375" s="22"/>
      <c r="K375" s="95"/>
      <c r="L375" s="50"/>
      <c r="M375" s="22"/>
      <c r="N375" s="22" t="s">
        <v>2195</v>
      </c>
      <c r="O375" s="46" t="str">
        <f>VLOOKUP(N375,Datos!$BJ$5:$BL$334,2,FALSE)</f>
        <v>ESPECIE</v>
      </c>
      <c r="P375" s="46" t="str">
        <f>VLOOKUP(N375,Datos!$BJ$5:$BL$334,3,FALSE)</f>
        <v>SUBESPECIE</v>
      </c>
      <c r="Q375" s="22"/>
      <c r="R375" s="65"/>
      <c r="S375" s="65"/>
      <c r="T375" s="65"/>
      <c r="U375" s="45"/>
    </row>
    <row r="376" spans="1:21" hidden="1">
      <c r="A376" s="58">
        <v>495</v>
      </c>
      <c r="B376" s="61"/>
      <c r="C376" s="49" t="s">
        <v>2492</v>
      </c>
      <c r="D376" s="49" t="s">
        <v>2492</v>
      </c>
      <c r="E376" s="64" t="s">
        <v>2492</v>
      </c>
      <c r="F376" s="22"/>
      <c r="G376" s="22"/>
      <c r="H376" s="22"/>
      <c r="I376" s="22"/>
      <c r="J376" s="22"/>
      <c r="K376" s="95"/>
      <c r="L376" s="50"/>
      <c r="M376" s="22"/>
      <c r="N376" s="22" t="s">
        <v>2195</v>
      </c>
      <c r="O376" s="46" t="str">
        <f>VLOOKUP(N376,Datos!$BJ$5:$BL$334,2,FALSE)</f>
        <v>ESPECIE</v>
      </c>
      <c r="P376" s="46" t="str">
        <f>VLOOKUP(N376,Datos!$BJ$5:$BL$334,3,FALSE)</f>
        <v>SUBESPECIE</v>
      </c>
      <c r="Q376" s="22"/>
      <c r="R376" s="65"/>
      <c r="S376" s="65"/>
      <c r="T376" s="65"/>
      <c r="U376" s="45"/>
    </row>
    <row r="377" spans="1:21" hidden="1">
      <c r="A377" s="58">
        <v>496</v>
      </c>
      <c r="B377" s="61"/>
      <c r="C377" s="49" t="s">
        <v>2492</v>
      </c>
      <c r="D377" s="49" t="s">
        <v>2492</v>
      </c>
      <c r="E377" s="64" t="s">
        <v>2492</v>
      </c>
      <c r="F377" s="22"/>
      <c r="G377" s="22"/>
      <c r="H377" s="22"/>
      <c r="I377" s="22"/>
      <c r="J377" s="22"/>
      <c r="K377" s="95"/>
      <c r="L377" s="50"/>
      <c r="M377" s="22"/>
      <c r="N377" s="22" t="s">
        <v>2195</v>
      </c>
      <c r="O377" s="46" t="str">
        <f>VLOOKUP(N377,Datos!$BJ$5:$BL$334,2,FALSE)</f>
        <v>ESPECIE</v>
      </c>
      <c r="P377" s="46" t="str">
        <f>VLOOKUP(N377,Datos!$BJ$5:$BL$334,3,FALSE)</f>
        <v>SUBESPECIE</v>
      </c>
      <c r="Q377" s="22"/>
      <c r="R377" s="65"/>
      <c r="S377" s="65"/>
      <c r="T377" s="65"/>
      <c r="U377" s="45"/>
    </row>
    <row r="378" spans="1:21" hidden="1">
      <c r="A378" s="58">
        <v>497</v>
      </c>
      <c r="B378" s="61"/>
      <c r="C378" s="49" t="s">
        <v>2492</v>
      </c>
      <c r="D378" s="49" t="s">
        <v>2492</v>
      </c>
      <c r="E378" s="64" t="s">
        <v>2492</v>
      </c>
      <c r="F378" s="22"/>
      <c r="G378" s="22"/>
      <c r="H378" s="22"/>
      <c r="I378" s="22"/>
      <c r="J378" s="22"/>
      <c r="K378" s="95"/>
      <c r="L378" s="50"/>
      <c r="M378" s="22"/>
      <c r="N378" s="22" t="s">
        <v>2195</v>
      </c>
      <c r="O378" s="46" t="str">
        <f>VLOOKUP(N378,Datos!$BJ$5:$BL$334,2,FALSE)</f>
        <v>ESPECIE</v>
      </c>
      <c r="P378" s="46" t="str">
        <f>VLOOKUP(N378,Datos!$BJ$5:$BL$334,3,FALSE)</f>
        <v>SUBESPECIE</v>
      </c>
      <c r="Q378" s="22"/>
      <c r="R378" s="65"/>
      <c r="S378" s="65"/>
      <c r="T378" s="65"/>
      <c r="U378" s="45"/>
    </row>
    <row r="379" spans="1:21" hidden="1">
      <c r="A379" s="58">
        <v>498</v>
      </c>
      <c r="B379" s="61"/>
      <c r="C379" s="49" t="s">
        <v>2492</v>
      </c>
      <c r="D379" s="49" t="s">
        <v>2492</v>
      </c>
      <c r="E379" s="64" t="s">
        <v>2492</v>
      </c>
      <c r="F379" s="22"/>
      <c r="G379" s="22"/>
      <c r="H379" s="22"/>
      <c r="I379" s="22"/>
      <c r="J379" s="22"/>
      <c r="K379" s="95"/>
      <c r="L379" s="50"/>
      <c r="M379" s="22"/>
      <c r="N379" s="22" t="s">
        <v>2195</v>
      </c>
      <c r="O379" s="46" t="str">
        <f>VLOOKUP(N379,Datos!$BJ$5:$BL$334,2,FALSE)</f>
        <v>ESPECIE</v>
      </c>
      <c r="P379" s="46" t="str">
        <f>VLOOKUP(N379,Datos!$BJ$5:$BL$334,3,FALSE)</f>
        <v>SUBESPECIE</v>
      </c>
      <c r="Q379" s="22"/>
      <c r="R379" s="65"/>
      <c r="S379" s="65"/>
      <c r="T379" s="65"/>
      <c r="U379" s="45"/>
    </row>
    <row r="380" spans="1:21" hidden="1">
      <c r="A380" s="58">
        <v>499</v>
      </c>
      <c r="B380" s="61"/>
      <c r="C380" s="49" t="s">
        <v>2492</v>
      </c>
      <c r="D380" s="49" t="s">
        <v>2492</v>
      </c>
      <c r="E380" s="64" t="s">
        <v>2492</v>
      </c>
      <c r="F380" s="22"/>
      <c r="G380" s="22"/>
      <c r="H380" s="22"/>
      <c r="I380" s="22"/>
      <c r="J380" s="22"/>
      <c r="K380" s="95"/>
      <c r="L380" s="50"/>
      <c r="M380" s="22"/>
      <c r="N380" s="22" t="s">
        <v>2195</v>
      </c>
      <c r="O380" s="46" t="str">
        <f>VLOOKUP(N380,Datos!$BJ$5:$BL$334,2,FALSE)</f>
        <v>ESPECIE</v>
      </c>
      <c r="P380" s="46" t="str">
        <f>VLOOKUP(N380,Datos!$BJ$5:$BL$334,3,FALSE)</f>
        <v>SUBESPECIE</v>
      </c>
      <c r="Q380" s="22"/>
      <c r="R380" s="65"/>
      <c r="S380" s="65"/>
      <c r="T380" s="65"/>
      <c r="U380" s="45"/>
    </row>
    <row r="381" spans="1:21" hidden="1">
      <c r="A381" s="58">
        <v>500</v>
      </c>
      <c r="B381" s="61"/>
      <c r="C381" s="49" t="s">
        <v>2492</v>
      </c>
      <c r="D381" s="49" t="s">
        <v>2492</v>
      </c>
      <c r="E381" s="64" t="s">
        <v>2492</v>
      </c>
      <c r="F381" s="22"/>
      <c r="G381" s="22"/>
      <c r="H381" s="22"/>
      <c r="I381" s="22"/>
      <c r="J381" s="22"/>
      <c r="K381" s="95"/>
      <c r="L381" s="50"/>
      <c r="M381" s="22"/>
      <c r="N381" s="22" t="s">
        <v>2195</v>
      </c>
      <c r="O381" s="46" t="str">
        <f>VLOOKUP(N381,Datos!$BJ$5:$BL$334,2,FALSE)</f>
        <v>ESPECIE</v>
      </c>
      <c r="P381" s="46" t="str">
        <f>VLOOKUP(N381,Datos!$BJ$5:$BL$334,3,FALSE)</f>
        <v>SUBESPECIE</v>
      </c>
      <c r="Q381" s="22"/>
      <c r="R381" s="65"/>
      <c r="S381" s="65"/>
      <c r="T381" s="65"/>
      <c r="U381" s="45"/>
    </row>
    <row r="382" spans="1:21" hidden="1">
      <c r="A382" s="58">
        <v>501</v>
      </c>
      <c r="B382" s="61"/>
      <c r="C382" s="49" t="s">
        <v>2492</v>
      </c>
      <c r="D382" s="49" t="s">
        <v>2492</v>
      </c>
      <c r="E382" s="64" t="s">
        <v>2492</v>
      </c>
      <c r="F382" s="22"/>
      <c r="G382" s="22"/>
      <c r="H382" s="22"/>
      <c r="I382" s="22"/>
      <c r="J382" s="22"/>
      <c r="K382" s="95"/>
      <c r="L382" s="50"/>
      <c r="M382" s="22"/>
      <c r="N382" s="22" t="s">
        <v>2195</v>
      </c>
      <c r="O382" s="46" t="str">
        <f>VLOOKUP(N382,Datos!$BJ$5:$BL$334,2,FALSE)</f>
        <v>ESPECIE</v>
      </c>
      <c r="P382" s="46" t="str">
        <f>VLOOKUP(N382,Datos!$BJ$5:$BL$334,3,FALSE)</f>
        <v>SUBESPECIE</v>
      </c>
      <c r="Q382" s="22"/>
      <c r="R382" s="65"/>
      <c r="S382" s="65"/>
      <c r="T382" s="65"/>
      <c r="U382" s="45"/>
    </row>
    <row r="383" spans="1:21" hidden="1">
      <c r="A383" s="58">
        <v>502</v>
      </c>
      <c r="B383" s="61"/>
      <c r="C383" s="49" t="s">
        <v>2492</v>
      </c>
      <c r="D383" s="49" t="s">
        <v>2492</v>
      </c>
      <c r="E383" s="64" t="s">
        <v>2492</v>
      </c>
      <c r="F383" s="22"/>
      <c r="G383" s="22"/>
      <c r="H383" s="22"/>
      <c r="I383" s="22"/>
      <c r="J383" s="22"/>
      <c r="K383" s="95"/>
      <c r="L383" s="50"/>
      <c r="M383" s="22"/>
      <c r="N383" s="22" t="s">
        <v>2195</v>
      </c>
      <c r="O383" s="46" t="str">
        <f>VLOOKUP(N383,Datos!$BJ$5:$BL$334,2,FALSE)</f>
        <v>ESPECIE</v>
      </c>
      <c r="P383" s="46" t="str">
        <f>VLOOKUP(N383,Datos!$BJ$5:$BL$334,3,FALSE)</f>
        <v>SUBESPECIE</v>
      </c>
      <c r="Q383" s="22"/>
      <c r="R383" s="65"/>
      <c r="S383" s="65"/>
      <c r="T383" s="65"/>
      <c r="U383" s="45"/>
    </row>
    <row r="384" spans="1:21" hidden="1">
      <c r="A384" s="58">
        <v>503</v>
      </c>
      <c r="B384" s="61"/>
      <c r="C384" s="49" t="s">
        <v>2492</v>
      </c>
      <c r="D384" s="49" t="s">
        <v>2492</v>
      </c>
      <c r="E384" s="64" t="s">
        <v>2492</v>
      </c>
      <c r="F384" s="22"/>
      <c r="G384" s="22"/>
      <c r="H384" s="22"/>
      <c r="I384" s="22"/>
      <c r="J384" s="22"/>
      <c r="K384" s="95"/>
      <c r="L384" s="50"/>
      <c r="M384" s="22"/>
      <c r="N384" s="22" t="s">
        <v>2195</v>
      </c>
      <c r="O384" s="46" t="str">
        <f>VLOOKUP(N384,Datos!$BJ$5:$BL$334,2,FALSE)</f>
        <v>ESPECIE</v>
      </c>
      <c r="P384" s="46" t="str">
        <f>VLOOKUP(N384,Datos!$BJ$5:$BL$334,3,FALSE)</f>
        <v>SUBESPECIE</v>
      </c>
      <c r="Q384" s="22"/>
      <c r="R384" s="65"/>
      <c r="S384" s="65"/>
      <c r="T384" s="65"/>
      <c r="U384" s="45"/>
    </row>
    <row r="385" spans="1:21" hidden="1">
      <c r="A385" s="58">
        <v>504</v>
      </c>
      <c r="B385" s="61"/>
      <c r="C385" s="49" t="s">
        <v>2492</v>
      </c>
      <c r="D385" s="49" t="s">
        <v>2492</v>
      </c>
      <c r="E385" s="64" t="s">
        <v>2492</v>
      </c>
      <c r="F385" s="22"/>
      <c r="G385" s="22"/>
      <c r="H385" s="22"/>
      <c r="I385" s="22"/>
      <c r="J385" s="22"/>
      <c r="K385" s="95"/>
      <c r="L385" s="50"/>
      <c r="M385" s="22"/>
      <c r="N385" s="22" t="s">
        <v>2195</v>
      </c>
      <c r="O385" s="46" t="str">
        <f>VLOOKUP(N385,Datos!$BJ$5:$BL$334,2,FALSE)</f>
        <v>ESPECIE</v>
      </c>
      <c r="P385" s="46" t="str">
        <f>VLOOKUP(N385,Datos!$BJ$5:$BL$334,3,FALSE)</f>
        <v>SUBESPECIE</v>
      </c>
      <c r="Q385" s="22"/>
      <c r="R385" s="65"/>
      <c r="S385" s="65"/>
      <c r="T385" s="65"/>
      <c r="U385" s="45"/>
    </row>
    <row r="386" spans="1:21" hidden="1">
      <c r="A386" s="58">
        <v>505</v>
      </c>
      <c r="B386" s="61"/>
      <c r="C386" s="49" t="s">
        <v>2492</v>
      </c>
      <c r="D386" s="49" t="s">
        <v>2492</v>
      </c>
      <c r="E386" s="64" t="s">
        <v>2492</v>
      </c>
      <c r="F386" s="22"/>
      <c r="G386" s="22"/>
      <c r="H386" s="22"/>
      <c r="I386" s="22"/>
      <c r="J386" s="22"/>
      <c r="K386" s="95"/>
      <c r="L386" s="50"/>
      <c r="M386" s="22"/>
      <c r="N386" s="22" t="s">
        <v>2195</v>
      </c>
      <c r="O386" s="46" t="str">
        <f>VLOOKUP(N386,Datos!$BJ$5:$BL$334,2,FALSE)</f>
        <v>ESPECIE</v>
      </c>
      <c r="P386" s="46" t="str">
        <f>VLOOKUP(N386,Datos!$BJ$5:$BL$334,3,FALSE)</f>
        <v>SUBESPECIE</v>
      </c>
      <c r="Q386" s="22"/>
      <c r="R386" s="65"/>
      <c r="S386" s="65"/>
      <c r="T386" s="65"/>
      <c r="U386" s="45"/>
    </row>
    <row r="387" spans="1:21" hidden="1">
      <c r="A387" s="58">
        <v>506</v>
      </c>
      <c r="B387" s="61"/>
      <c r="C387" s="49" t="s">
        <v>2492</v>
      </c>
      <c r="D387" s="49" t="s">
        <v>2492</v>
      </c>
      <c r="E387" s="64" t="s">
        <v>2492</v>
      </c>
      <c r="F387" s="22"/>
      <c r="G387" s="22"/>
      <c r="H387" s="22"/>
      <c r="I387" s="22"/>
      <c r="J387" s="22"/>
      <c r="K387" s="95"/>
      <c r="L387" s="50"/>
      <c r="M387" s="22"/>
      <c r="N387" s="22" t="s">
        <v>2195</v>
      </c>
      <c r="O387" s="46" t="str">
        <f>VLOOKUP(N387,Datos!$BJ$5:$BL$334,2,FALSE)</f>
        <v>ESPECIE</v>
      </c>
      <c r="P387" s="46" t="str">
        <f>VLOOKUP(N387,Datos!$BJ$5:$BL$334,3,FALSE)</f>
        <v>SUBESPECIE</v>
      </c>
      <c r="Q387" s="22"/>
      <c r="R387" s="65"/>
      <c r="S387" s="65"/>
      <c r="T387" s="65"/>
      <c r="U387" s="45"/>
    </row>
    <row r="388" spans="1:21" hidden="1">
      <c r="A388" s="58">
        <v>507</v>
      </c>
      <c r="B388" s="61"/>
      <c r="C388" s="49" t="s">
        <v>2492</v>
      </c>
      <c r="D388" s="49" t="s">
        <v>2492</v>
      </c>
      <c r="E388" s="64" t="s">
        <v>2492</v>
      </c>
      <c r="F388" s="22"/>
      <c r="G388" s="22"/>
      <c r="H388" s="22"/>
      <c r="I388" s="22"/>
      <c r="J388" s="22"/>
      <c r="K388" s="95"/>
      <c r="L388" s="50"/>
      <c r="M388" s="22"/>
      <c r="N388" s="22" t="s">
        <v>2195</v>
      </c>
      <c r="O388" s="46" t="str">
        <f>VLOOKUP(N388,Datos!$BJ$5:$BL$334,2,FALSE)</f>
        <v>ESPECIE</v>
      </c>
      <c r="P388" s="46" t="str">
        <f>VLOOKUP(N388,Datos!$BJ$5:$BL$334,3,FALSE)</f>
        <v>SUBESPECIE</v>
      </c>
      <c r="Q388" s="22"/>
      <c r="R388" s="65"/>
      <c r="S388" s="65"/>
      <c r="T388" s="65"/>
      <c r="U388" s="45"/>
    </row>
    <row r="389" spans="1:21" hidden="1">
      <c r="A389" s="58">
        <v>508</v>
      </c>
      <c r="B389" s="61"/>
      <c r="C389" s="49" t="s">
        <v>2492</v>
      </c>
      <c r="D389" s="49" t="s">
        <v>2492</v>
      </c>
      <c r="E389" s="64" t="s">
        <v>2492</v>
      </c>
      <c r="F389" s="22"/>
      <c r="G389" s="22"/>
      <c r="H389" s="22"/>
      <c r="I389" s="22"/>
      <c r="J389" s="22"/>
      <c r="K389" s="95"/>
      <c r="L389" s="50"/>
      <c r="M389" s="22"/>
      <c r="N389" s="22" t="s">
        <v>2195</v>
      </c>
      <c r="O389" s="46" t="str">
        <f>VLOOKUP(N389,Datos!$BJ$5:$BL$334,2,FALSE)</f>
        <v>ESPECIE</v>
      </c>
      <c r="P389" s="46" t="str">
        <f>VLOOKUP(N389,Datos!$BJ$5:$BL$334,3,FALSE)</f>
        <v>SUBESPECIE</v>
      </c>
      <c r="Q389" s="22"/>
      <c r="R389" s="65"/>
      <c r="S389" s="65"/>
      <c r="T389" s="65"/>
      <c r="U389" s="45"/>
    </row>
    <row r="390" spans="1:21" hidden="1">
      <c r="A390" s="58">
        <v>509</v>
      </c>
      <c r="B390" s="61"/>
      <c r="C390" s="49" t="s">
        <v>2492</v>
      </c>
      <c r="D390" s="49" t="s">
        <v>2492</v>
      </c>
      <c r="E390" s="64" t="s">
        <v>2492</v>
      </c>
      <c r="F390" s="22"/>
      <c r="G390" s="22"/>
      <c r="H390" s="22"/>
      <c r="I390" s="22"/>
      <c r="J390" s="22"/>
      <c r="K390" s="95"/>
      <c r="L390" s="50"/>
      <c r="M390" s="22"/>
      <c r="N390" s="22" t="s">
        <v>2195</v>
      </c>
      <c r="O390" s="46" t="str">
        <f>VLOOKUP(N390,Datos!$BJ$5:$BL$334,2,FALSE)</f>
        <v>ESPECIE</v>
      </c>
      <c r="P390" s="46" t="str">
        <f>VLOOKUP(N390,Datos!$BJ$5:$BL$334,3,FALSE)</f>
        <v>SUBESPECIE</v>
      </c>
      <c r="Q390" s="22"/>
      <c r="R390" s="65"/>
      <c r="S390" s="65"/>
      <c r="T390" s="65"/>
      <c r="U390" s="45"/>
    </row>
    <row r="391" spans="1:21" hidden="1">
      <c r="A391" s="58">
        <v>510</v>
      </c>
      <c r="B391" s="61"/>
      <c r="C391" s="49" t="s">
        <v>2492</v>
      </c>
      <c r="D391" s="49" t="s">
        <v>2492</v>
      </c>
      <c r="E391" s="64" t="s">
        <v>2492</v>
      </c>
      <c r="F391" s="22"/>
      <c r="G391" s="22"/>
      <c r="H391" s="22"/>
      <c r="I391" s="22"/>
      <c r="J391" s="22"/>
      <c r="K391" s="95"/>
      <c r="L391" s="50"/>
      <c r="M391" s="22"/>
      <c r="N391" s="22" t="s">
        <v>2195</v>
      </c>
      <c r="O391" s="46" t="str">
        <f>VLOOKUP(N391,Datos!$BJ$5:$BL$334,2,FALSE)</f>
        <v>ESPECIE</v>
      </c>
      <c r="P391" s="46" t="str">
        <f>VLOOKUP(N391,Datos!$BJ$5:$BL$334,3,FALSE)</f>
        <v>SUBESPECIE</v>
      </c>
      <c r="Q391" s="22"/>
      <c r="R391" s="65"/>
      <c r="S391" s="65"/>
      <c r="T391" s="65"/>
      <c r="U391" s="45"/>
    </row>
    <row r="392" spans="1:21" hidden="1">
      <c r="A392" s="58">
        <v>511</v>
      </c>
      <c r="B392" s="61"/>
      <c r="C392" s="49" t="s">
        <v>2492</v>
      </c>
      <c r="D392" s="49" t="s">
        <v>2492</v>
      </c>
      <c r="E392" s="64" t="s">
        <v>2492</v>
      </c>
      <c r="F392" s="22"/>
      <c r="G392" s="22"/>
      <c r="H392" s="22"/>
      <c r="I392" s="22"/>
      <c r="J392" s="22"/>
      <c r="K392" s="95"/>
      <c r="L392" s="50"/>
      <c r="M392" s="22"/>
      <c r="N392" s="22" t="s">
        <v>2195</v>
      </c>
      <c r="O392" s="46" t="str">
        <f>VLOOKUP(N392,Datos!$BJ$5:$BL$334,2,FALSE)</f>
        <v>ESPECIE</v>
      </c>
      <c r="P392" s="46" t="str">
        <f>VLOOKUP(N392,Datos!$BJ$5:$BL$334,3,FALSE)</f>
        <v>SUBESPECIE</v>
      </c>
      <c r="Q392" s="22"/>
      <c r="R392" s="65"/>
      <c r="S392" s="65"/>
      <c r="T392" s="65"/>
      <c r="U392" s="45"/>
    </row>
    <row r="393" spans="1:21" hidden="1">
      <c r="A393" s="58">
        <v>512</v>
      </c>
      <c r="B393" s="61"/>
      <c r="C393" s="49" t="s">
        <v>2492</v>
      </c>
      <c r="D393" s="49" t="s">
        <v>2492</v>
      </c>
      <c r="E393" s="64" t="s">
        <v>2492</v>
      </c>
      <c r="F393" s="22"/>
      <c r="G393" s="22"/>
      <c r="H393" s="22"/>
      <c r="I393" s="22"/>
      <c r="J393" s="22"/>
      <c r="K393" s="95"/>
      <c r="L393" s="50"/>
      <c r="M393" s="22"/>
      <c r="N393" s="22" t="s">
        <v>2195</v>
      </c>
      <c r="O393" s="46" t="str">
        <f>VLOOKUP(N393,Datos!$BJ$5:$BL$334,2,FALSE)</f>
        <v>ESPECIE</v>
      </c>
      <c r="P393" s="46" t="str">
        <f>VLOOKUP(N393,Datos!$BJ$5:$BL$334,3,FALSE)</f>
        <v>SUBESPECIE</v>
      </c>
      <c r="Q393" s="22"/>
      <c r="R393" s="65"/>
      <c r="S393" s="65"/>
      <c r="T393" s="65"/>
      <c r="U393" s="45"/>
    </row>
    <row r="394" spans="1:21" hidden="1">
      <c r="A394" s="58">
        <v>513</v>
      </c>
      <c r="B394" s="61"/>
      <c r="C394" s="49" t="s">
        <v>2492</v>
      </c>
      <c r="D394" s="49" t="s">
        <v>2492</v>
      </c>
      <c r="E394" s="64" t="s">
        <v>2492</v>
      </c>
      <c r="F394" s="22"/>
      <c r="G394" s="22"/>
      <c r="H394" s="22"/>
      <c r="I394" s="22"/>
      <c r="J394" s="22"/>
      <c r="K394" s="95"/>
      <c r="L394" s="50"/>
      <c r="M394" s="22"/>
      <c r="N394" s="22" t="s">
        <v>2195</v>
      </c>
      <c r="O394" s="46" t="str">
        <f>VLOOKUP(N394,Datos!$BJ$5:$BL$334,2,FALSE)</f>
        <v>ESPECIE</v>
      </c>
      <c r="P394" s="46" t="str">
        <f>VLOOKUP(N394,Datos!$BJ$5:$BL$334,3,FALSE)</f>
        <v>SUBESPECIE</v>
      </c>
      <c r="Q394" s="22"/>
      <c r="R394" s="65"/>
      <c r="S394" s="65"/>
      <c r="T394" s="65"/>
      <c r="U394" s="45"/>
    </row>
    <row r="395" spans="1:21" hidden="1">
      <c r="A395" s="58">
        <v>514</v>
      </c>
      <c r="B395" s="61"/>
      <c r="C395" s="49" t="s">
        <v>2492</v>
      </c>
      <c r="D395" s="49" t="s">
        <v>2492</v>
      </c>
      <c r="E395" s="64" t="s">
        <v>2492</v>
      </c>
      <c r="F395" s="22"/>
      <c r="G395" s="22"/>
      <c r="H395" s="22"/>
      <c r="I395" s="22"/>
      <c r="J395" s="22"/>
      <c r="K395" s="95"/>
      <c r="L395" s="50"/>
      <c r="M395" s="22"/>
      <c r="N395" s="22" t="s">
        <v>2195</v>
      </c>
      <c r="O395" s="46" t="str">
        <f>VLOOKUP(N395,Datos!$BJ$5:$BL$334,2,FALSE)</f>
        <v>ESPECIE</v>
      </c>
      <c r="P395" s="46" t="str">
        <f>VLOOKUP(N395,Datos!$BJ$5:$BL$334,3,FALSE)</f>
        <v>SUBESPECIE</v>
      </c>
      <c r="Q395" s="22"/>
      <c r="R395" s="65"/>
      <c r="S395" s="65"/>
      <c r="T395" s="65"/>
      <c r="U395" s="45"/>
    </row>
    <row r="396" spans="1:21" hidden="1">
      <c r="A396" s="58">
        <v>515</v>
      </c>
      <c r="B396" s="61"/>
      <c r="C396" s="49" t="s">
        <v>2492</v>
      </c>
      <c r="D396" s="49" t="s">
        <v>2492</v>
      </c>
      <c r="E396" s="64" t="s">
        <v>2492</v>
      </c>
      <c r="F396" s="22"/>
      <c r="G396" s="22"/>
      <c r="H396" s="22"/>
      <c r="I396" s="22"/>
      <c r="J396" s="22"/>
      <c r="K396" s="95"/>
      <c r="L396" s="50"/>
      <c r="M396" s="22"/>
      <c r="N396" s="22" t="s">
        <v>2195</v>
      </c>
      <c r="O396" s="46" t="str">
        <f>VLOOKUP(N396,Datos!$BJ$5:$BL$334,2,FALSE)</f>
        <v>ESPECIE</v>
      </c>
      <c r="P396" s="46" t="str">
        <f>VLOOKUP(N396,Datos!$BJ$5:$BL$334,3,FALSE)</f>
        <v>SUBESPECIE</v>
      </c>
      <c r="Q396" s="22"/>
      <c r="R396" s="65"/>
      <c r="S396" s="65"/>
      <c r="T396" s="65"/>
      <c r="U396" s="45"/>
    </row>
    <row r="397" spans="1:21" hidden="1">
      <c r="A397" s="58">
        <v>516</v>
      </c>
      <c r="B397" s="61"/>
      <c r="C397" s="49" t="s">
        <v>2492</v>
      </c>
      <c r="D397" s="49" t="s">
        <v>2492</v>
      </c>
      <c r="E397" s="64" t="s">
        <v>2492</v>
      </c>
      <c r="F397" s="22"/>
      <c r="G397" s="22"/>
      <c r="H397" s="22"/>
      <c r="I397" s="22"/>
      <c r="J397" s="22"/>
      <c r="K397" s="95"/>
      <c r="L397" s="50"/>
      <c r="M397" s="22"/>
      <c r="N397" s="22" t="s">
        <v>2195</v>
      </c>
      <c r="O397" s="46" t="str">
        <f>VLOOKUP(N397,Datos!$BJ$5:$BL$334,2,FALSE)</f>
        <v>ESPECIE</v>
      </c>
      <c r="P397" s="46" t="str">
        <f>VLOOKUP(N397,Datos!$BJ$5:$BL$334,3,FALSE)</f>
        <v>SUBESPECIE</v>
      </c>
      <c r="Q397" s="22"/>
      <c r="R397" s="65"/>
      <c r="S397" s="65"/>
      <c r="T397" s="65"/>
      <c r="U397" s="45"/>
    </row>
    <row r="398" spans="1:21" hidden="1">
      <c r="A398" s="58">
        <v>517</v>
      </c>
      <c r="B398" s="61"/>
      <c r="C398" s="49" t="s">
        <v>2492</v>
      </c>
      <c r="D398" s="49" t="s">
        <v>2492</v>
      </c>
      <c r="E398" s="64" t="s">
        <v>2492</v>
      </c>
      <c r="F398" s="22"/>
      <c r="G398" s="22"/>
      <c r="H398" s="22"/>
      <c r="I398" s="22"/>
      <c r="J398" s="22"/>
      <c r="K398" s="95"/>
      <c r="L398" s="50"/>
      <c r="M398" s="22"/>
      <c r="N398" s="22" t="s">
        <v>2195</v>
      </c>
      <c r="O398" s="46" t="str">
        <f>VLOOKUP(N398,Datos!$BJ$5:$BL$334,2,FALSE)</f>
        <v>ESPECIE</v>
      </c>
      <c r="P398" s="46" t="str">
        <f>VLOOKUP(N398,Datos!$BJ$5:$BL$334,3,FALSE)</f>
        <v>SUBESPECIE</v>
      </c>
      <c r="Q398" s="22"/>
      <c r="R398" s="65"/>
      <c r="S398" s="65"/>
      <c r="T398" s="65"/>
      <c r="U398" s="45"/>
    </row>
    <row r="399" spans="1:21" hidden="1">
      <c r="A399" s="58">
        <v>518</v>
      </c>
      <c r="B399" s="61"/>
      <c r="C399" s="49" t="s">
        <v>2492</v>
      </c>
      <c r="D399" s="49" t="s">
        <v>2492</v>
      </c>
      <c r="E399" s="64" t="s">
        <v>2492</v>
      </c>
      <c r="F399" s="22"/>
      <c r="G399" s="22"/>
      <c r="H399" s="22"/>
      <c r="I399" s="22"/>
      <c r="J399" s="22"/>
      <c r="K399" s="95"/>
      <c r="L399" s="50"/>
      <c r="M399" s="22"/>
      <c r="N399" s="22" t="s">
        <v>2195</v>
      </c>
      <c r="O399" s="46" t="str">
        <f>VLOOKUP(N399,Datos!$BJ$5:$BL$334,2,FALSE)</f>
        <v>ESPECIE</v>
      </c>
      <c r="P399" s="46" t="str">
        <f>VLOOKUP(N399,Datos!$BJ$5:$BL$334,3,FALSE)</f>
        <v>SUBESPECIE</v>
      </c>
      <c r="Q399" s="22"/>
      <c r="R399" s="65"/>
      <c r="S399" s="65"/>
      <c r="T399" s="65"/>
      <c r="U399" s="45"/>
    </row>
    <row r="400" spans="1:21" hidden="1">
      <c r="A400" s="58">
        <v>519</v>
      </c>
      <c r="B400" s="61"/>
      <c r="C400" s="49" t="s">
        <v>2492</v>
      </c>
      <c r="D400" s="49" t="s">
        <v>2492</v>
      </c>
      <c r="E400" s="64" t="s">
        <v>2492</v>
      </c>
      <c r="F400" s="22"/>
      <c r="G400" s="22"/>
      <c r="H400" s="22"/>
      <c r="I400" s="22"/>
      <c r="J400" s="22"/>
      <c r="K400" s="95"/>
      <c r="L400" s="50"/>
      <c r="M400" s="22"/>
      <c r="N400" s="22" t="s">
        <v>2195</v>
      </c>
      <c r="O400" s="46" t="str">
        <f>VLOOKUP(N400,Datos!$BJ$5:$BL$334,2,FALSE)</f>
        <v>ESPECIE</v>
      </c>
      <c r="P400" s="46" t="str">
        <f>VLOOKUP(N400,Datos!$BJ$5:$BL$334,3,FALSE)</f>
        <v>SUBESPECIE</v>
      </c>
      <c r="Q400" s="22"/>
      <c r="R400" s="65"/>
      <c r="S400" s="65"/>
      <c r="T400" s="65"/>
      <c r="U400" s="45"/>
    </row>
    <row r="401" spans="1:21" hidden="1">
      <c r="A401" s="58">
        <v>520</v>
      </c>
      <c r="B401" s="61"/>
      <c r="C401" s="49" t="s">
        <v>2492</v>
      </c>
      <c r="D401" s="49" t="s">
        <v>2492</v>
      </c>
      <c r="E401" s="64" t="s">
        <v>2492</v>
      </c>
      <c r="F401" s="22"/>
      <c r="G401" s="22"/>
      <c r="H401" s="22"/>
      <c r="I401" s="22"/>
      <c r="J401" s="22"/>
      <c r="K401" s="95"/>
      <c r="L401" s="50"/>
      <c r="M401" s="22"/>
      <c r="N401" s="22" t="s">
        <v>2195</v>
      </c>
      <c r="O401" s="46" t="str">
        <f>VLOOKUP(N401,Datos!$BJ$5:$BL$334,2,FALSE)</f>
        <v>ESPECIE</v>
      </c>
      <c r="P401" s="46" t="str">
        <f>VLOOKUP(N401,Datos!$BJ$5:$BL$334,3,FALSE)</f>
        <v>SUBESPECIE</v>
      </c>
      <c r="Q401" s="22"/>
      <c r="R401" s="65"/>
      <c r="S401" s="65"/>
      <c r="T401" s="65"/>
      <c r="U401" s="45"/>
    </row>
    <row r="402" spans="1:21" hidden="1">
      <c r="A402" s="58">
        <v>521</v>
      </c>
      <c r="B402" s="61"/>
      <c r="C402" s="49" t="s">
        <v>2492</v>
      </c>
      <c r="D402" s="49" t="s">
        <v>2492</v>
      </c>
      <c r="E402" s="64" t="s">
        <v>2492</v>
      </c>
      <c r="F402" s="22"/>
      <c r="G402" s="22"/>
      <c r="H402" s="22"/>
      <c r="I402" s="22"/>
      <c r="J402" s="22"/>
      <c r="K402" s="95"/>
      <c r="L402" s="50"/>
      <c r="M402" s="22"/>
      <c r="N402" s="22" t="s">
        <v>2195</v>
      </c>
      <c r="O402" s="46" t="str">
        <f>VLOOKUP(N402,Datos!$BJ$5:$BL$334,2,FALSE)</f>
        <v>ESPECIE</v>
      </c>
      <c r="P402" s="46" t="str">
        <f>VLOOKUP(N402,Datos!$BJ$5:$BL$334,3,FALSE)</f>
        <v>SUBESPECIE</v>
      </c>
      <c r="Q402" s="22"/>
      <c r="R402" s="65"/>
      <c r="S402" s="65"/>
      <c r="T402" s="65"/>
      <c r="U402" s="45"/>
    </row>
    <row r="403" spans="1:21" hidden="1">
      <c r="A403" s="58">
        <v>522</v>
      </c>
      <c r="B403" s="61"/>
      <c r="C403" s="49" t="s">
        <v>2492</v>
      </c>
      <c r="D403" s="49" t="s">
        <v>2492</v>
      </c>
      <c r="E403" s="64" t="s">
        <v>2492</v>
      </c>
      <c r="F403" s="22"/>
      <c r="G403" s="22"/>
      <c r="H403" s="22"/>
      <c r="I403" s="22"/>
      <c r="J403" s="22"/>
      <c r="K403" s="95"/>
      <c r="L403" s="50"/>
      <c r="M403" s="22"/>
      <c r="N403" s="22" t="s">
        <v>2195</v>
      </c>
      <c r="O403" s="46" t="str">
        <f>VLOOKUP(N403,Datos!$BJ$5:$BL$334,2,FALSE)</f>
        <v>ESPECIE</v>
      </c>
      <c r="P403" s="46" t="str">
        <f>VLOOKUP(N403,Datos!$BJ$5:$BL$334,3,FALSE)</f>
        <v>SUBESPECIE</v>
      </c>
      <c r="Q403" s="22"/>
      <c r="R403" s="65"/>
      <c r="S403" s="65"/>
      <c r="T403" s="65"/>
      <c r="U403" s="45"/>
    </row>
    <row r="404" spans="1:21" hidden="1">
      <c r="A404" s="58">
        <v>523</v>
      </c>
      <c r="B404" s="61"/>
      <c r="C404" s="49" t="s">
        <v>2492</v>
      </c>
      <c r="D404" s="49" t="s">
        <v>2492</v>
      </c>
      <c r="E404" s="64" t="s">
        <v>2492</v>
      </c>
      <c r="F404" s="22"/>
      <c r="G404" s="22"/>
      <c r="H404" s="22"/>
      <c r="I404" s="22"/>
      <c r="J404" s="22"/>
      <c r="K404" s="95"/>
      <c r="L404" s="50"/>
      <c r="M404" s="22"/>
      <c r="N404" s="22" t="s">
        <v>2195</v>
      </c>
      <c r="O404" s="46" t="str">
        <f>VLOOKUP(N404,Datos!$BJ$5:$BL$334,2,FALSE)</f>
        <v>ESPECIE</v>
      </c>
      <c r="P404" s="46" t="str">
        <f>VLOOKUP(N404,Datos!$BJ$5:$BL$334,3,FALSE)</f>
        <v>SUBESPECIE</v>
      </c>
      <c r="Q404" s="22"/>
      <c r="R404" s="65"/>
      <c r="S404" s="65"/>
      <c r="T404" s="65"/>
      <c r="U404" s="45"/>
    </row>
    <row r="405" spans="1:21" hidden="1">
      <c r="A405" s="58">
        <v>524</v>
      </c>
      <c r="B405" s="61"/>
      <c r="C405" s="49" t="s">
        <v>2492</v>
      </c>
      <c r="D405" s="49" t="s">
        <v>2492</v>
      </c>
      <c r="E405" s="64" t="s">
        <v>2492</v>
      </c>
      <c r="F405" s="22"/>
      <c r="G405" s="22"/>
      <c r="H405" s="22"/>
      <c r="I405" s="22"/>
      <c r="J405" s="22"/>
      <c r="K405" s="95"/>
      <c r="L405" s="50"/>
      <c r="M405" s="22"/>
      <c r="N405" s="22" t="s">
        <v>2195</v>
      </c>
      <c r="O405" s="46" t="str">
        <f>VLOOKUP(N405,Datos!$BJ$5:$BL$334,2,FALSE)</f>
        <v>ESPECIE</v>
      </c>
      <c r="P405" s="46" t="str">
        <f>VLOOKUP(N405,Datos!$BJ$5:$BL$334,3,FALSE)</f>
        <v>SUBESPECIE</v>
      </c>
      <c r="Q405" s="22"/>
      <c r="R405" s="65"/>
      <c r="S405" s="65"/>
      <c r="T405" s="65"/>
      <c r="U405" s="45"/>
    </row>
    <row r="406" spans="1:21" hidden="1">
      <c r="A406" s="58">
        <v>525</v>
      </c>
      <c r="B406" s="61"/>
      <c r="C406" s="49" t="s">
        <v>2492</v>
      </c>
      <c r="D406" s="49" t="s">
        <v>2492</v>
      </c>
      <c r="E406" s="64" t="s">
        <v>2492</v>
      </c>
      <c r="F406" s="22"/>
      <c r="G406" s="22"/>
      <c r="H406" s="22"/>
      <c r="I406" s="22"/>
      <c r="J406" s="22"/>
      <c r="K406" s="95"/>
      <c r="L406" s="50"/>
      <c r="M406" s="22"/>
      <c r="N406" s="22" t="s">
        <v>2195</v>
      </c>
      <c r="O406" s="46" t="str">
        <f>VLOOKUP(N406,Datos!$BJ$5:$BL$334,2,FALSE)</f>
        <v>ESPECIE</v>
      </c>
      <c r="P406" s="46" t="str">
        <f>VLOOKUP(N406,Datos!$BJ$5:$BL$334,3,FALSE)</f>
        <v>SUBESPECIE</v>
      </c>
      <c r="Q406" s="22"/>
      <c r="R406" s="65"/>
      <c r="S406" s="65"/>
      <c r="T406" s="65"/>
      <c r="U406" s="45"/>
    </row>
    <row r="407" spans="1:21" hidden="1">
      <c r="A407" s="58">
        <v>526</v>
      </c>
      <c r="B407" s="61"/>
      <c r="C407" s="49" t="s">
        <v>2492</v>
      </c>
      <c r="D407" s="49" t="s">
        <v>2492</v>
      </c>
      <c r="E407" s="64" t="s">
        <v>2492</v>
      </c>
      <c r="F407" s="22"/>
      <c r="G407" s="22"/>
      <c r="H407" s="22"/>
      <c r="I407" s="22"/>
      <c r="J407" s="22"/>
      <c r="K407" s="95"/>
      <c r="L407" s="50"/>
      <c r="M407" s="22"/>
      <c r="N407" s="22" t="s">
        <v>2195</v>
      </c>
      <c r="O407" s="46" t="str">
        <f>VLOOKUP(N407,Datos!$BJ$5:$BL$334,2,FALSE)</f>
        <v>ESPECIE</v>
      </c>
      <c r="P407" s="46" t="str">
        <f>VLOOKUP(N407,Datos!$BJ$5:$BL$334,3,FALSE)</f>
        <v>SUBESPECIE</v>
      </c>
      <c r="Q407" s="22"/>
      <c r="R407" s="65"/>
      <c r="S407" s="65"/>
      <c r="T407" s="65"/>
      <c r="U407" s="45"/>
    </row>
    <row r="408" spans="1:21" hidden="1">
      <c r="A408" s="58">
        <v>527</v>
      </c>
      <c r="B408" s="61"/>
      <c r="C408" s="49" t="s">
        <v>2492</v>
      </c>
      <c r="D408" s="49" t="s">
        <v>2492</v>
      </c>
      <c r="E408" s="64" t="s">
        <v>2492</v>
      </c>
      <c r="F408" s="22"/>
      <c r="G408" s="22"/>
      <c r="H408" s="22"/>
      <c r="I408" s="22"/>
      <c r="J408" s="22"/>
      <c r="K408" s="95"/>
      <c r="L408" s="50"/>
      <c r="M408" s="22"/>
      <c r="N408" s="22" t="s">
        <v>2195</v>
      </c>
      <c r="O408" s="46" t="str">
        <f>VLOOKUP(N408,Datos!$BJ$5:$BL$334,2,FALSE)</f>
        <v>ESPECIE</v>
      </c>
      <c r="P408" s="46" t="str">
        <f>VLOOKUP(N408,Datos!$BJ$5:$BL$334,3,FALSE)</f>
        <v>SUBESPECIE</v>
      </c>
      <c r="Q408" s="22"/>
      <c r="R408" s="65"/>
      <c r="S408" s="65"/>
      <c r="T408" s="65"/>
      <c r="U408" s="45"/>
    </row>
    <row r="409" spans="1:21" hidden="1">
      <c r="A409" s="58">
        <v>528</v>
      </c>
      <c r="B409" s="61"/>
      <c r="C409" s="49" t="s">
        <v>2492</v>
      </c>
      <c r="D409" s="49" t="s">
        <v>2492</v>
      </c>
      <c r="E409" s="64" t="s">
        <v>2492</v>
      </c>
      <c r="F409" s="22"/>
      <c r="G409" s="22"/>
      <c r="H409" s="22"/>
      <c r="I409" s="22"/>
      <c r="J409" s="22"/>
      <c r="K409" s="95"/>
      <c r="L409" s="50"/>
      <c r="M409" s="22"/>
      <c r="N409" s="22" t="s">
        <v>2195</v>
      </c>
      <c r="O409" s="46" t="str">
        <f>VLOOKUP(N409,Datos!$BJ$5:$BL$334,2,FALSE)</f>
        <v>ESPECIE</v>
      </c>
      <c r="P409" s="46" t="str">
        <f>VLOOKUP(N409,Datos!$BJ$5:$BL$334,3,FALSE)</f>
        <v>SUBESPECIE</v>
      </c>
      <c r="Q409" s="22"/>
      <c r="R409" s="65"/>
      <c r="S409" s="65"/>
      <c r="T409" s="65"/>
      <c r="U409" s="45"/>
    </row>
    <row r="410" spans="1:21" hidden="1">
      <c r="A410" s="58">
        <v>529</v>
      </c>
      <c r="B410" s="61"/>
      <c r="C410" s="49" t="s">
        <v>2492</v>
      </c>
      <c r="D410" s="49" t="s">
        <v>2492</v>
      </c>
      <c r="E410" s="64" t="s">
        <v>2492</v>
      </c>
      <c r="F410" s="22"/>
      <c r="G410" s="22"/>
      <c r="H410" s="22"/>
      <c r="I410" s="22"/>
      <c r="J410" s="22"/>
      <c r="K410" s="95"/>
      <c r="L410" s="50"/>
      <c r="M410" s="22"/>
      <c r="N410" s="22" t="s">
        <v>2195</v>
      </c>
      <c r="O410" s="46" t="str">
        <f>VLOOKUP(N410,Datos!$BJ$5:$BL$334,2,FALSE)</f>
        <v>ESPECIE</v>
      </c>
      <c r="P410" s="46" t="str">
        <f>VLOOKUP(N410,Datos!$BJ$5:$BL$334,3,FALSE)</f>
        <v>SUBESPECIE</v>
      </c>
      <c r="Q410" s="22"/>
      <c r="R410" s="65"/>
      <c r="S410" s="65"/>
      <c r="T410" s="65"/>
      <c r="U410" s="45"/>
    </row>
    <row r="411" spans="1:21" hidden="1">
      <c r="A411" s="58">
        <v>530</v>
      </c>
      <c r="B411" s="61"/>
      <c r="C411" s="49" t="s">
        <v>2492</v>
      </c>
      <c r="D411" s="49" t="s">
        <v>2492</v>
      </c>
      <c r="E411" s="64" t="s">
        <v>2492</v>
      </c>
      <c r="F411" s="22"/>
      <c r="G411" s="22"/>
      <c r="H411" s="22"/>
      <c r="I411" s="22"/>
      <c r="J411" s="22"/>
      <c r="K411" s="95"/>
      <c r="L411" s="50"/>
      <c r="M411" s="22"/>
      <c r="N411" s="22" t="s">
        <v>2195</v>
      </c>
      <c r="O411" s="46" t="str">
        <f>VLOOKUP(N411,Datos!$BJ$5:$BL$334,2,FALSE)</f>
        <v>ESPECIE</v>
      </c>
      <c r="P411" s="46" t="str">
        <f>VLOOKUP(N411,Datos!$BJ$5:$BL$334,3,FALSE)</f>
        <v>SUBESPECIE</v>
      </c>
      <c r="Q411" s="22"/>
      <c r="R411" s="65"/>
      <c r="S411" s="65"/>
      <c r="T411" s="65"/>
      <c r="U411" s="45"/>
    </row>
    <row r="412" spans="1:21" hidden="1">
      <c r="A412" s="58">
        <v>531</v>
      </c>
      <c r="B412" s="61"/>
      <c r="C412" s="49" t="s">
        <v>2492</v>
      </c>
      <c r="D412" s="49" t="s">
        <v>2492</v>
      </c>
      <c r="E412" s="64" t="s">
        <v>2492</v>
      </c>
      <c r="F412" s="22"/>
      <c r="G412" s="22"/>
      <c r="H412" s="22"/>
      <c r="I412" s="22"/>
      <c r="J412" s="22"/>
      <c r="K412" s="95"/>
      <c r="L412" s="50"/>
      <c r="M412" s="22"/>
      <c r="N412" s="22" t="s">
        <v>2195</v>
      </c>
      <c r="O412" s="46" t="str">
        <f>VLOOKUP(N412,Datos!$BJ$5:$BL$334,2,FALSE)</f>
        <v>ESPECIE</v>
      </c>
      <c r="P412" s="46" t="str">
        <f>VLOOKUP(N412,Datos!$BJ$5:$BL$334,3,FALSE)</f>
        <v>SUBESPECIE</v>
      </c>
      <c r="Q412" s="22"/>
      <c r="R412" s="65"/>
      <c r="S412" s="65"/>
      <c r="T412" s="65"/>
      <c r="U412" s="45"/>
    </row>
    <row r="413" spans="1:21" hidden="1">
      <c r="A413" s="58">
        <v>532</v>
      </c>
      <c r="B413" s="61"/>
      <c r="C413" s="49" t="s">
        <v>2492</v>
      </c>
      <c r="D413" s="49" t="s">
        <v>2492</v>
      </c>
      <c r="E413" s="64" t="s">
        <v>2492</v>
      </c>
      <c r="F413" s="22"/>
      <c r="G413" s="22"/>
      <c r="H413" s="22"/>
      <c r="I413" s="22"/>
      <c r="J413" s="22"/>
      <c r="K413" s="95"/>
      <c r="L413" s="50"/>
      <c r="M413" s="22"/>
      <c r="N413" s="22" t="s">
        <v>2195</v>
      </c>
      <c r="O413" s="46" t="str">
        <f>VLOOKUP(N413,Datos!$BJ$5:$BL$334,2,FALSE)</f>
        <v>ESPECIE</v>
      </c>
      <c r="P413" s="46" t="str">
        <f>VLOOKUP(N413,Datos!$BJ$5:$BL$334,3,FALSE)</f>
        <v>SUBESPECIE</v>
      </c>
      <c r="Q413" s="22"/>
      <c r="R413" s="65"/>
      <c r="S413" s="65"/>
      <c r="T413" s="65"/>
      <c r="U413" s="45"/>
    </row>
    <row r="414" spans="1:21" hidden="1">
      <c r="A414" s="58">
        <v>533</v>
      </c>
      <c r="B414" s="61"/>
      <c r="C414" s="49" t="s">
        <v>2492</v>
      </c>
      <c r="D414" s="49" t="s">
        <v>2492</v>
      </c>
      <c r="E414" s="64" t="s">
        <v>2492</v>
      </c>
      <c r="F414" s="22"/>
      <c r="G414" s="22"/>
      <c r="H414" s="22"/>
      <c r="I414" s="22"/>
      <c r="J414" s="22"/>
      <c r="K414" s="95"/>
      <c r="L414" s="50"/>
      <c r="M414" s="22"/>
      <c r="N414" s="22" t="s">
        <v>2195</v>
      </c>
      <c r="O414" s="46" t="str">
        <f>VLOOKUP(N414,Datos!$BJ$5:$BL$334,2,FALSE)</f>
        <v>ESPECIE</v>
      </c>
      <c r="P414" s="46" t="str">
        <f>VLOOKUP(N414,Datos!$BJ$5:$BL$334,3,FALSE)</f>
        <v>SUBESPECIE</v>
      </c>
      <c r="Q414" s="22"/>
      <c r="R414" s="65"/>
      <c r="S414" s="65"/>
      <c r="T414" s="65"/>
      <c r="U414" s="45"/>
    </row>
    <row r="415" spans="1:21" hidden="1">
      <c r="A415" s="58">
        <v>534</v>
      </c>
      <c r="B415" s="61"/>
      <c r="C415" s="49" t="s">
        <v>2492</v>
      </c>
      <c r="D415" s="49" t="s">
        <v>2492</v>
      </c>
      <c r="E415" s="64" t="s">
        <v>2492</v>
      </c>
      <c r="F415" s="22"/>
      <c r="G415" s="22"/>
      <c r="H415" s="22"/>
      <c r="I415" s="22"/>
      <c r="J415" s="22"/>
      <c r="K415" s="95"/>
      <c r="L415" s="50"/>
      <c r="M415" s="22"/>
      <c r="N415" s="22" t="s">
        <v>2195</v>
      </c>
      <c r="O415" s="46" t="str">
        <f>VLOOKUP(N415,Datos!$BJ$5:$BL$334,2,FALSE)</f>
        <v>ESPECIE</v>
      </c>
      <c r="P415" s="46" t="str">
        <f>VLOOKUP(N415,Datos!$BJ$5:$BL$334,3,FALSE)</f>
        <v>SUBESPECIE</v>
      </c>
      <c r="Q415" s="22"/>
      <c r="R415" s="65"/>
      <c r="S415" s="65"/>
      <c r="T415" s="65"/>
      <c r="U415" s="45"/>
    </row>
    <row r="416" spans="1:21" hidden="1">
      <c r="A416" s="58">
        <v>535</v>
      </c>
      <c r="B416" s="61"/>
      <c r="C416" s="49" t="s">
        <v>2492</v>
      </c>
      <c r="D416" s="49" t="s">
        <v>2492</v>
      </c>
      <c r="E416" s="64" t="s">
        <v>2492</v>
      </c>
      <c r="F416" s="22"/>
      <c r="G416" s="22"/>
      <c r="H416" s="22"/>
      <c r="I416" s="22"/>
      <c r="J416" s="22"/>
      <c r="K416" s="95"/>
      <c r="L416" s="50"/>
      <c r="M416" s="22"/>
      <c r="N416" s="22" t="s">
        <v>2195</v>
      </c>
      <c r="O416" s="46" t="str">
        <f>VLOOKUP(N416,Datos!$BJ$5:$BL$334,2,FALSE)</f>
        <v>ESPECIE</v>
      </c>
      <c r="P416" s="46" t="str">
        <f>VLOOKUP(N416,Datos!$BJ$5:$BL$334,3,FALSE)</f>
        <v>SUBESPECIE</v>
      </c>
      <c r="Q416" s="22"/>
      <c r="R416" s="65"/>
      <c r="S416" s="65"/>
      <c r="T416" s="65"/>
      <c r="U416" s="45"/>
    </row>
    <row r="417" spans="1:21" hidden="1">
      <c r="A417" s="58">
        <v>536</v>
      </c>
      <c r="B417" s="61"/>
      <c r="C417" s="49" t="s">
        <v>2492</v>
      </c>
      <c r="D417" s="49" t="s">
        <v>2492</v>
      </c>
      <c r="E417" s="64" t="s">
        <v>2492</v>
      </c>
      <c r="F417" s="22"/>
      <c r="G417" s="22"/>
      <c r="H417" s="22"/>
      <c r="I417" s="22"/>
      <c r="J417" s="22"/>
      <c r="K417" s="95"/>
      <c r="L417" s="50"/>
      <c r="M417" s="22"/>
      <c r="N417" s="22" t="s">
        <v>2195</v>
      </c>
      <c r="O417" s="46" t="str">
        <f>VLOOKUP(N417,Datos!$BJ$5:$BL$334,2,FALSE)</f>
        <v>ESPECIE</v>
      </c>
      <c r="P417" s="46" t="str">
        <f>VLOOKUP(N417,Datos!$BJ$5:$BL$334,3,FALSE)</f>
        <v>SUBESPECIE</v>
      </c>
      <c r="Q417" s="22"/>
      <c r="R417" s="65"/>
      <c r="S417" s="65"/>
      <c r="T417" s="65"/>
      <c r="U417" s="45"/>
    </row>
    <row r="418" spans="1:21" hidden="1">
      <c r="A418" s="58">
        <v>537</v>
      </c>
      <c r="B418" s="61"/>
      <c r="C418" s="49" t="s">
        <v>2492</v>
      </c>
      <c r="D418" s="49" t="s">
        <v>2492</v>
      </c>
      <c r="E418" s="64" t="s">
        <v>2492</v>
      </c>
      <c r="F418" s="22"/>
      <c r="G418" s="22"/>
      <c r="H418" s="22"/>
      <c r="I418" s="22"/>
      <c r="J418" s="22"/>
      <c r="K418" s="95"/>
      <c r="L418" s="50"/>
      <c r="M418" s="22"/>
      <c r="N418" s="22" t="s">
        <v>2195</v>
      </c>
      <c r="O418" s="46" t="str">
        <f>VLOOKUP(N418,Datos!$BJ$5:$BL$334,2,FALSE)</f>
        <v>ESPECIE</v>
      </c>
      <c r="P418" s="46" t="str">
        <f>VLOOKUP(N418,Datos!$BJ$5:$BL$334,3,FALSE)</f>
        <v>SUBESPECIE</v>
      </c>
      <c r="Q418" s="22"/>
      <c r="R418" s="65"/>
      <c r="S418" s="65"/>
      <c r="T418" s="65"/>
      <c r="U418" s="45"/>
    </row>
    <row r="419" spans="1:21" hidden="1">
      <c r="A419" s="58">
        <v>538</v>
      </c>
      <c r="B419" s="61"/>
      <c r="C419" s="49" t="s">
        <v>2492</v>
      </c>
      <c r="D419" s="49" t="s">
        <v>2492</v>
      </c>
      <c r="E419" s="64" t="s">
        <v>2492</v>
      </c>
      <c r="F419" s="22"/>
      <c r="G419" s="22"/>
      <c r="H419" s="22"/>
      <c r="I419" s="22"/>
      <c r="J419" s="22"/>
      <c r="K419" s="95"/>
      <c r="L419" s="50"/>
      <c r="M419" s="22"/>
      <c r="N419" s="22" t="s">
        <v>2195</v>
      </c>
      <c r="O419" s="46" t="str">
        <f>VLOOKUP(N419,Datos!$BJ$5:$BL$334,2,FALSE)</f>
        <v>ESPECIE</v>
      </c>
      <c r="P419" s="46" t="str">
        <f>VLOOKUP(N419,Datos!$BJ$5:$BL$334,3,FALSE)</f>
        <v>SUBESPECIE</v>
      </c>
      <c r="Q419" s="22"/>
      <c r="R419" s="65"/>
      <c r="S419" s="65"/>
      <c r="T419" s="65"/>
      <c r="U419" s="45"/>
    </row>
    <row r="420" spans="1:21" hidden="1">
      <c r="A420" s="58">
        <v>539</v>
      </c>
      <c r="B420" s="61"/>
      <c r="C420" s="49" t="s">
        <v>2492</v>
      </c>
      <c r="D420" s="49" t="s">
        <v>2492</v>
      </c>
      <c r="E420" s="64" t="s">
        <v>2492</v>
      </c>
      <c r="F420" s="22"/>
      <c r="G420" s="22"/>
      <c r="H420" s="22"/>
      <c r="I420" s="22"/>
      <c r="J420" s="22"/>
      <c r="K420" s="95"/>
      <c r="L420" s="50"/>
      <c r="M420" s="22"/>
      <c r="N420" s="22" t="s">
        <v>2195</v>
      </c>
      <c r="O420" s="46" t="str">
        <f>VLOOKUP(N420,Datos!$BJ$5:$BL$334,2,FALSE)</f>
        <v>ESPECIE</v>
      </c>
      <c r="P420" s="46" t="str">
        <f>VLOOKUP(N420,Datos!$BJ$5:$BL$334,3,FALSE)</f>
        <v>SUBESPECIE</v>
      </c>
      <c r="Q420" s="22"/>
      <c r="R420" s="65"/>
      <c r="S420" s="65"/>
      <c r="T420" s="65"/>
      <c r="U420" s="45"/>
    </row>
    <row r="421" spans="1:21" hidden="1">
      <c r="A421" s="58">
        <v>540</v>
      </c>
      <c r="B421" s="61"/>
      <c r="C421" s="49" t="s">
        <v>2492</v>
      </c>
      <c r="D421" s="49" t="s">
        <v>2492</v>
      </c>
      <c r="E421" s="64" t="s">
        <v>2492</v>
      </c>
      <c r="F421" s="22"/>
      <c r="G421" s="22"/>
      <c r="H421" s="22"/>
      <c r="I421" s="22"/>
      <c r="J421" s="22"/>
      <c r="K421" s="95"/>
      <c r="L421" s="50"/>
      <c r="M421" s="22"/>
      <c r="N421" s="22" t="s">
        <v>2195</v>
      </c>
      <c r="O421" s="46" t="str">
        <f>VLOOKUP(N421,Datos!$BJ$5:$BL$334,2,FALSE)</f>
        <v>ESPECIE</v>
      </c>
      <c r="P421" s="46" t="str">
        <f>VLOOKUP(N421,Datos!$BJ$5:$BL$334,3,FALSE)</f>
        <v>SUBESPECIE</v>
      </c>
      <c r="Q421" s="22"/>
      <c r="R421" s="65"/>
      <c r="S421" s="65"/>
      <c r="T421" s="65"/>
      <c r="U421" s="45"/>
    </row>
    <row r="422" spans="1:21" hidden="1">
      <c r="A422" s="58">
        <v>541</v>
      </c>
      <c r="B422" s="61"/>
      <c r="C422" s="49" t="s">
        <v>2492</v>
      </c>
      <c r="D422" s="49" t="s">
        <v>2492</v>
      </c>
      <c r="E422" s="64" t="s">
        <v>2492</v>
      </c>
      <c r="F422" s="22"/>
      <c r="G422" s="22"/>
      <c r="H422" s="22"/>
      <c r="I422" s="22"/>
      <c r="J422" s="22"/>
      <c r="K422" s="95"/>
      <c r="L422" s="50"/>
      <c r="M422" s="22"/>
      <c r="N422" s="22" t="s">
        <v>2195</v>
      </c>
      <c r="O422" s="46" t="str">
        <f>VLOOKUP(N422,Datos!$BJ$5:$BL$334,2,FALSE)</f>
        <v>ESPECIE</v>
      </c>
      <c r="P422" s="46" t="str">
        <f>VLOOKUP(N422,Datos!$BJ$5:$BL$334,3,FALSE)</f>
        <v>SUBESPECIE</v>
      </c>
      <c r="Q422" s="22"/>
      <c r="R422" s="65"/>
      <c r="S422" s="65"/>
      <c r="T422" s="65"/>
      <c r="U422" s="45"/>
    </row>
    <row r="423" spans="1:21" hidden="1">
      <c r="A423" s="58">
        <v>542</v>
      </c>
      <c r="B423" s="61"/>
      <c r="C423" s="49" t="s">
        <v>2492</v>
      </c>
      <c r="D423" s="49" t="s">
        <v>2492</v>
      </c>
      <c r="E423" s="64" t="s">
        <v>2492</v>
      </c>
      <c r="F423" s="22"/>
      <c r="G423" s="22"/>
      <c r="H423" s="22"/>
      <c r="I423" s="22"/>
      <c r="J423" s="22"/>
      <c r="K423" s="95"/>
      <c r="L423" s="50"/>
      <c r="M423" s="22"/>
      <c r="N423" s="22" t="s">
        <v>2195</v>
      </c>
      <c r="O423" s="46" t="str">
        <f>VLOOKUP(N423,Datos!$BJ$5:$BL$334,2,FALSE)</f>
        <v>ESPECIE</v>
      </c>
      <c r="P423" s="46" t="str">
        <f>VLOOKUP(N423,Datos!$BJ$5:$BL$334,3,FALSE)</f>
        <v>SUBESPECIE</v>
      </c>
      <c r="Q423" s="22"/>
      <c r="R423" s="65"/>
      <c r="S423" s="65"/>
      <c r="T423" s="65"/>
      <c r="U423" s="45"/>
    </row>
    <row r="424" spans="1:21" hidden="1">
      <c r="A424" s="58">
        <v>543</v>
      </c>
      <c r="B424" s="61"/>
      <c r="C424" s="49" t="s">
        <v>2492</v>
      </c>
      <c r="D424" s="49" t="s">
        <v>2492</v>
      </c>
      <c r="E424" s="64" t="s">
        <v>2492</v>
      </c>
      <c r="F424" s="22"/>
      <c r="G424" s="22"/>
      <c r="H424" s="22"/>
      <c r="I424" s="22"/>
      <c r="J424" s="22"/>
      <c r="K424" s="95"/>
      <c r="L424" s="50"/>
      <c r="M424" s="22"/>
      <c r="N424" s="22" t="s">
        <v>2195</v>
      </c>
      <c r="O424" s="46" t="str">
        <f>VLOOKUP(N424,Datos!$BJ$5:$BL$334,2,FALSE)</f>
        <v>ESPECIE</v>
      </c>
      <c r="P424" s="46" t="str">
        <f>VLOOKUP(N424,Datos!$BJ$5:$BL$334,3,FALSE)</f>
        <v>SUBESPECIE</v>
      </c>
      <c r="Q424" s="22"/>
      <c r="R424" s="65"/>
      <c r="S424" s="65"/>
      <c r="T424" s="65"/>
      <c r="U424" s="45"/>
    </row>
    <row r="425" spans="1:21" hidden="1">
      <c r="A425" s="58">
        <v>544</v>
      </c>
      <c r="B425" s="61"/>
      <c r="C425" s="49" t="s">
        <v>2492</v>
      </c>
      <c r="D425" s="49" t="s">
        <v>2492</v>
      </c>
      <c r="E425" s="64" t="s">
        <v>2492</v>
      </c>
      <c r="F425" s="22"/>
      <c r="G425" s="22"/>
      <c r="H425" s="22"/>
      <c r="I425" s="22"/>
      <c r="J425" s="22"/>
      <c r="K425" s="95"/>
      <c r="L425" s="50"/>
      <c r="M425" s="22"/>
      <c r="N425" s="22" t="s">
        <v>2195</v>
      </c>
      <c r="O425" s="46" t="str">
        <f>VLOOKUP(N425,Datos!$BJ$5:$BL$334,2,FALSE)</f>
        <v>ESPECIE</v>
      </c>
      <c r="P425" s="46" t="str">
        <f>VLOOKUP(N425,Datos!$BJ$5:$BL$334,3,FALSE)</f>
        <v>SUBESPECIE</v>
      </c>
      <c r="Q425" s="22"/>
      <c r="R425" s="65"/>
      <c r="S425" s="65"/>
      <c r="T425" s="65"/>
      <c r="U425" s="45"/>
    </row>
    <row r="426" spans="1:21" hidden="1">
      <c r="A426" s="58">
        <v>545</v>
      </c>
      <c r="B426" s="61"/>
      <c r="C426" s="49" t="s">
        <v>2492</v>
      </c>
      <c r="D426" s="49" t="s">
        <v>2492</v>
      </c>
      <c r="E426" s="64" t="s">
        <v>2492</v>
      </c>
      <c r="F426" s="22"/>
      <c r="G426" s="22"/>
      <c r="H426" s="22"/>
      <c r="I426" s="22"/>
      <c r="J426" s="22"/>
      <c r="K426" s="95"/>
      <c r="L426" s="50"/>
      <c r="M426" s="22"/>
      <c r="N426" s="22" t="s">
        <v>2195</v>
      </c>
      <c r="O426" s="46" t="str">
        <f>VLOOKUP(N426,Datos!$BJ$5:$BL$334,2,FALSE)</f>
        <v>ESPECIE</v>
      </c>
      <c r="P426" s="46" t="str">
        <f>VLOOKUP(N426,Datos!$BJ$5:$BL$334,3,FALSE)</f>
        <v>SUBESPECIE</v>
      </c>
      <c r="Q426" s="22"/>
      <c r="R426" s="65"/>
      <c r="S426" s="65"/>
      <c r="T426" s="65"/>
      <c r="U426" s="45"/>
    </row>
    <row r="427" spans="1:21" hidden="1">
      <c r="A427" s="58">
        <v>546</v>
      </c>
      <c r="B427" s="61"/>
      <c r="C427" s="49" t="s">
        <v>2492</v>
      </c>
      <c r="D427" s="49" t="s">
        <v>2492</v>
      </c>
      <c r="E427" s="64" t="s">
        <v>2492</v>
      </c>
      <c r="F427" s="22"/>
      <c r="G427" s="22"/>
      <c r="H427" s="22"/>
      <c r="I427" s="22"/>
      <c r="J427" s="22"/>
      <c r="K427" s="95"/>
      <c r="L427" s="50"/>
      <c r="M427" s="22"/>
      <c r="N427" s="22" t="s">
        <v>2195</v>
      </c>
      <c r="O427" s="46" t="str">
        <f>VLOOKUP(N427,Datos!$BJ$5:$BL$334,2,FALSE)</f>
        <v>ESPECIE</v>
      </c>
      <c r="P427" s="46" t="str">
        <f>VLOOKUP(N427,Datos!$BJ$5:$BL$334,3,FALSE)</f>
        <v>SUBESPECIE</v>
      </c>
      <c r="Q427" s="22"/>
      <c r="R427" s="65"/>
      <c r="S427" s="65"/>
      <c r="T427" s="65"/>
      <c r="U427" s="45"/>
    </row>
    <row r="428" spans="1:21" hidden="1">
      <c r="A428" s="58">
        <v>547</v>
      </c>
      <c r="B428" s="61"/>
      <c r="C428" s="49" t="s">
        <v>2492</v>
      </c>
      <c r="D428" s="49" t="s">
        <v>2492</v>
      </c>
      <c r="E428" s="64" t="s">
        <v>2492</v>
      </c>
      <c r="F428" s="22"/>
      <c r="G428" s="22"/>
      <c r="H428" s="22"/>
      <c r="I428" s="22"/>
      <c r="J428" s="22"/>
      <c r="K428" s="95"/>
      <c r="L428" s="50"/>
      <c r="M428" s="22"/>
      <c r="N428" s="22" t="s">
        <v>2195</v>
      </c>
      <c r="O428" s="46" t="str">
        <f>VLOOKUP(N428,Datos!$BJ$5:$BL$334,2,FALSE)</f>
        <v>ESPECIE</v>
      </c>
      <c r="P428" s="46" t="str">
        <f>VLOOKUP(N428,Datos!$BJ$5:$BL$334,3,FALSE)</f>
        <v>SUBESPECIE</v>
      </c>
      <c r="Q428" s="22"/>
      <c r="R428" s="65"/>
      <c r="S428" s="65"/>
      <c r="T428" s="65"/>
      <c r="U428" s="45"/>
    </row>
    <row r="429" spans="1:21" hidden="1">
      <c r="A429" s="58">
        <v>548</v>
      </c>
      <c r="B429" s="61"/>
      <c r="C429" s="49" t="s">
        <v>2492</v>
      </c>
      <c r="D429" s="49" t="s">
        <v>2492</v>
      </c>
      <c r="E429" s="64" t="s">
        <v>2492</v>
      </c>
      <c r="F429" s="22"/>
      <c r="G429" s="22"/>
      <c r="H429" s="22"/>
      <c r="I429" s="22"/>
      <c r="J429" s="22"/>
      <c r="K429" s="95"/>
      <c r="L429" s="50"/>
      <c r="M429" s="22"/>
      <c r="N429" s="22" t="s">
        <v>2195</v>
      </c>
      <c r="O429" s="46" t="str">
        <f>VLOOKUP(N429,Datos!$BJ$5:$BL$334,2,FALSE)</f>
        <v>ESPECIE</v>
      </c>
      <c r="P429" s="46" t="str">
        <f>VLOOKUP(N429,Datos!$BJ$5:$BL$334,3,FALSE)</f>
        <v>SUBESPECIE</v>
      </c>
      <c r="Q429" s="22"/>
      <c r="R429" s="65"/>
      <c r="S429" s="65"/>
      <c r="T429" s="65"/>
      <c r="U429" s="45"/>
    </row>
    <row r="430" spans="1:21" hidden="1">
      <c r="A430" s="58">
        <v>549</v>
      </c>
      <c r="B430" s="61"/>
      <c r="C430" s="49" t="s">
        <v>2492</v>
      </c>
      <c r="D430" s="49" t="s">
        <v>2492</v>
      </c>
      <c r="E430" s="64" t="s">
        <v>2492</v>
      </c>
      <c r="F430" s="22"/>
      <c r="G430" s="22"/>
      <c r="H430" s="22"/>
      <c r="I430" s="22"/>
      <c r="J430" s="22"/>
      <c r="K430" s="95"/>
      <c r="L430" s="50"/>
      <c r="M430" s="22"/>
      <c r="N430" s="22" t="s">
        <v>2195</v>
      </c>
      <c r="O430" s="46" t="str">
        <f>VLOOKUP(N430,Datos!$BJ$5:$BL$334,2,FALSE)</f>
        <v>ESPECIE</v>
      </c>
      <c r="P430" s="46" t="str">
        <f>VLOOKUP(N430,Datos!$BJ$5:$BL$334,3,FALSE)</f>
        <v>SUBESPECIE</v>
      </c>
      <c r="Q430" s="22"/>
      <c r="R430" s="65"/>
      <c r="S430" s="65"/>
      <c r="T430" s="65"/>
      <c r="U430" s="45"/>
    </row>
    <row r="431" spans="1:21" hidden="1">
      <c r="A431" s="58">
        <v>550</v>
      </c>
      <c r="B431" s="61"/>
      <c r="C431" s="49" t="s">
        <v>2492</v>
      </c>
      <c r="D431" s="49" t="s">
        <v>2492</v>
      </c>
      <c r="E431" s="64" t="s">
        <v>2492</v>
      </c>
      <c r="F431" s="22"/>
      <c r="G431" s="22"/>
      <c r="H431" s="22"/>
      <c r="I431" s="22"/>
      <c r="J431" s="22"/>
      <c r="K431" s="95"/>
      <c r="L431" s="50"/>
      <c r="M431" s="22"/>
      <c r="N431" s="22" t="s">
        <v>2195</v>
      </c>
      <c r="O431" s="46" t="str">
        <f>VLOOKUP(N431,Datos!$BJ$5:$BL$334,2,FALSE)</f>
        <v>ESPECIE</v>
      </c>
      <c r="P431" s="46" t="str">
        <f>VLOOKUP(N431,Datos!$BJ$5:$BL$334,3,FALSE)</f>
        <v>SUBESPECIE</v>
      </c>
      <c r="Q431" s="22"/>
      <c r="R431" s="65"/>
      <c r="S431" s="65"/>
      <c r="T431" s="65"/>
      <c r="U431" s="45"/>
    </row>
    <row r="432" spans="1:21" hidden="1">
      <c r="A432" s="58">
        <v>551</v>
      </c>
      <c r="B432" s="61"/>
      <c r="C432" s="49" t="s">
        <v>2492</v>
      </c>
      <c r="D432" s="49" t="s">
        <v>2492</v>
      </c>
      <c r="E432" s="64" t="s">
        <v>2492</v>
      </c>
      <c r="F432" s="22"/>
      <c r="G432" s="22"/>
      <c r="H432" s="22"/>
      <c r="I432" s="22"/>
      <c r="J432" s="22"/>
      <c r="K432" s="95"/>
      <c r="L432" s="50"/>
      <c r="M432" s="22"/>
      <c r="N432" s="22" t="s">
        <v>2195</v>
      </c>
      <c r="O432" s="46" t="str">
        <f>VLOOKUP(N432,Datos!$BJ$5:$BL$334,2,FALSE)</f>
        <v>ESPECIE</v>
      </c>
      <c r="P432" s="46" t="str">
        <f>VLOOKUP(N432,Datos!$BJ$5:$BL$334,3,FALSE)</f>
        <v>SUBESPECIE</v>
      </c>
      <c r="Q432" s="22"/>
      <c r="R432" s="65"/>
      <c r="S432" s="65"/>
      <c r="T432" s="65"/>
      <c r="U432" s="45"/>
    </row>
    <row r="433" spans="1:21" hidden="1">
      <c r="A433" s="58">
        <v>552</v>
      </c>
      <c r="B433" s="61"/>
      <c r="C433" s="49" t="s">
        <v>2492</v>
      </c>
      <c r="D433" s="49" t="s">
        <v>2492</v>
      </c>
      <c r="E433" s="64" t="s">
        <v>2492</v>
      </c>
      <c r="F433" s="22"/>
      <c r="G433" s="22"/>
      <c r="H433" s="22"/>
      <c r="I433" s="22"/>
      <c r="J433" s="22"/>
      <c r="K433" s="95"/>
      <c r="L433" s="50"/>
      <c r="M433" s="22"/>
      <c r="N433" s="22" t="s">
        <v>2195</v>
      </c>
      <c r="O433" s="46" t="str">
        <f>VLOOKUP(N433,Datos!$BJ$5:$BL$334,2,FALSE)</f>
        <v>ESPECIE</v>
      </c>
      <c r="P433" s="46" t="str">
        <f>VLOOKUP(N433,Datos!$BJ$5:$BL$334,3,FALSE)</f>
        <v>SUBESPECIE</v>
      </c>
      <c r="Q433" s="22"/>
      <c r="R433" s="65"/>
      <c r="S433" s="65"/>
      <c r="T433" s="65"/>
      <c r="U433" s="45"/>
    </row>
    <row r="434" spans="1:21" hidden="1">
      <c r="A434" s="58">
        <v>553</v>
      </c>
      <c r="B434" s="61"/>
      <c r="C434" s="49" t="s">
        <v>2492</v>
      </c>
      <c r="D434" s="49" t="s">
        <v>2492</v>
      </c>
      <c r="E434" s="64" t="s">
        <v>2492</v>
      </c>
      <c r="F434" s="22"/>
      <c r="G434" s="22"/>
      <c r="H434" s="22"/>
      <c r="I434" s="22"/>
      <c r="J434" s="22"/>
      <c r="K434" s="95"/>
      <c r="L434" s="50"/>
      <c r="M434" s="22"/>
      <c r="N434" s="22" t="s">
        <v>2195</v>
      </c>
      <c r="O434" s="46" t="str">
        <f>VLOOKUP(N434,Datos!$BJ$5:$BL$334,2,FALSE)</f>
        <v>ESPECIE</v>
      </c>
      <c r="P434" s="46" t="str">
        <f>VLOOKUP(N434,Datos!$BJ$5:$BL$334,3,FALSE)</f>
        <v>SUBESPECIE</v>
      </c>
      <c r="Q434" s="22"/>
      <c r="R434" s="65"/>
      <c r="S434" s="65"/>
      <c r="T434" s="65"/>
      <c r="U434" s="45"/>
    </row>
    <row r="435" spans="1:21" hidden="1">
      <c r="A435" s="58">
        <v>554</v>
      </c>
      <c r="B435" s="61"/>
      <c r="C435" s="49" t="s">
        <v>2492</v>
      </c>
      <c r="D435" s="49" t="s">
        <v>2492</v>
      </c>
      <c r="E435" s="64" t="s">
        <v>2492</v>
      </c>
      <c r="F435" s="22"/>
      <c r="G435" s="22"/>
      <c r="H435" s="22"/>
      <c r="I435" s="22"/>
      <c r="J435" s="22"/>
      <c r="K435" s="95"/>
      <c r="L435" s="50"/>
      <c r="M435" s="22"/>
      <c r="N435" s="22" t="s">
        <v>2195</v>
      </c>
      <c r="O435" s="46" t="str">
        <f>VLOOKUP(N435,Datos!$BJ$5:$BL$334,2,FALSE)</f>
        <v>ESPECIE</v>
      </c>
      <c r="P435" s="46" t="str">
        <f>VLOOKUP(N435,Datos!$BJ$5:$BL$334,3,FALSE)</f>
        <v>SUBESPECIE</v>
      </c>
      <c r="Q435" s="22"/>
      <c r="R435" s="65"/>
      <c r="S435" s="65"/>
      <c r="T435" s="65"/>
      <c r="U435" s="45"/>
    </row>
    <row r="436" spans="1:21" hidden="1">
      <c r="A436" s="58">
        <v>555</v>
      </c>
      <c r="B436" s="61"/>
      <c r="C436" s="49" t="s">
        <v>2492</v>
      </c>
      <c r="D436" s="49" t="s">
        <v>2492</v>
      </c>
      <c r="E436" s="64" t="s">
        <v>2492</v>
      </c>
      <c r="F436" s="22"/>
      <c r="G436" s="22"/>
      <c r="H436" s="22"/>
      <c r="I436" s="22"/>
      <c r="J436" s="22"/>
      <c r="K436" s="95"/>
      <c r="L436" s="50"/>
      <c r="M436" s="22"/>
      <c r="N436" s="22" t="s">
        <v>2195</v>
      </c>
      <c r="O436" s="46" t="str">
        <f>VLOOKUP(N436,Datos!$BJ$5:$BL$334,2,FALSE)</f>
        <v>ESPECIE</v>
      </c>
      <c r="P436" s="46" t="str">
        <f>VLOOKUP(N436,Datos!$BJ$5:$BL$334,3,FALSE)</f>
        <v>SUBESPECIE</v>
      </c>
      <c r="Q436" s="22"/>
      <c r="R436" s="65"/>
      <c r="S436" s="65"/>
      <c r="T436" s="65"/>
      <c r="U436" s="45"/>
    </row>
    <row r="437" spans="1:21" hidden="1">
      <c r="A437" s="58">
        <v>556</v>
      </c>
      <c r="B437" s="61"/>
      <c r="C437" s="49" t="s">
        <v>2492</v>
      </c>
      <c r="D437" s="49" t="s">
        <v>2492</v>
      </c>
      <c r="E437" s="64" t="s">
        <v>2492</v>
      </c>
      <c r="F437" s="22"/>
      <c r="G437" s="22"/>
      <c r="H437" s="22"/>
      <c r="I437" s="22"/>
      <c r="J437" s="22"/>
      <c r="K437" s="95"/>
      <c r="L437" s="50"/>
      <c r="M437" s="22"/>
      <c r="N437" s="22" t="s">
        <v>2195</v>
      </c>
      <c r="O437" s="46" t="str">
        <f>VLOOKUP(N437,Datos!$BJ$5:$BL$334,2,FALSE)</f>
        <v>ESPECIE</v>
      </c>
      <c r="P437" s="46" t="str">
        <f>VLOOKUP(N437,Datos!$BJ$5:$BL$334,3,FALSE)</f>
        <v>SUBESPECIE</v>
      </c>
      <c r="Q437" s="22"/>
      <c r="R437" s="65"/>
      <c r="S437" s="65"/>
      <c r="T437" s="65"/>
      <c r="U437" s="45"/>
    </row>
    <row r="438" spans="1:21" hidden="1">
      <c r="A438" s="58">
        <v>557</v>
      </c>
      <c r="B438" s="61"/>
      <c r="C438" s="49" t="s">
        <v>2492</v>
      </c>
      <c r="D438" s="49" t="s">
        <v>2492</v>
      </c>
      <c r="E438" s="64" t="s">
        <v>2492</v>
      </c>
      <c r="F438" s="22"/>
      <c r="G438" s="22"/>
      <c r="H438" s="22"/>
      <c r="I438" s="22"/>
      <c r="J438" s="22"/>
      <c r="K438" s="95"/>
      <c r="L438" s="50"/>
      <c r="M438" s="22"/>
      <c r="N438" s="22" t="s">
        <v>2195</v>
      </c>
      <c r="O438" s="46" t="str">
        <f>VLOOKUP(N438,Datos!$BJ$5:$BL$334,2,FALSE)</f>
        <v>ESPECIE</v>
      </c>
      <c r="P438" s="46" t="str">
        <f>VLOOKUP(N438,Datos!$BJ$5:$BL$334,3,FALSE)</f>
        <v>SUBESPECIE</v>
      </c>
      <c r="Q438" s="22"/>
      <c r="R438" s="65"/>
      <c r="S438" s="65"/>
      <c r="T438" s="65"/>
      <c r="U438" s="45"/>
    </row>
    <row r="439" spans="1:21" hidden="1">
      <c r="A439" s="58">
        <v>558</v>
      </c>
      <c r="B439" s="61"/>
      <c r="C439" s="49" t="s">
        <v>2492</v>
      </c>
      <c r="D439" s="49" t="s">
        <v>2492</v>
      </c>
      <c r="E439" s="64" t="s">
        <v>2492</v>
      </c>
      <c r="F439" s="22"/>
      <c r="G439" s="22"/>
      <c r="H439" s="22"/>
      <c r="I439" s="22"/>
      <c r="J439" s="22"/>
      <c r="K439" s="95"/>
      <c r="L439" s="50"/>
      <c r="M439" s="22"/>
      <c r="N439" s="22" t="s">
        <v>2195</v>
      </c>
      <c r="O439" s="46" t="str">
        <f>VLOOKUP(N439,Datos!$BJ$5:$BL$334,2,FALSE)</f>
        <v>ESPECIE</v>
      </c>
      <c r="P439" s="46" t="str">
        <f>VLOOKUP(N439,Datos!$BJ$5:$BL$334,3,FALSE)</f>
        <v>SUBESPECIE</v>
      </c>
      <c r="Q439" s="22"/>
      <c r="R439" s="65"/>
      <c r="S439" s="65"/>
      <c r="T439" s="65"/>
      <c r="U439" s="45"/>
    </row>
    <row r="440" spans="1:21" hidden="1">
      <c r="A440" s="58">
        <v>559</v>
      </c>
      <c r="B440" s="61"/>
      <c r="C440" s="49" t="s">
        <v>2492</v>
      </c>
      <c r="D440" s="49" t="s">
        <v>2492</v>
      </c>
      <c r="E440" s="64" t="s">
        <v>2492</v>
      </c>
      <c r="F440" s="22"/>
      <c r="G440" s="22"/>
      <c r="H440" s="22"/>
      <c r="I440" s="22"/>
      <c r="J440" s="22"/>
      <c r="K440" s="95"/>
      <c r="L440" s="50"/>
      <c r="M440" s="22"/>
      <c r="N440" s="22" t="s">
        <v>2195</v>
      </c>
      <c r="O440" s="46" t="str">
        <f>VLOOKUP(N440,Datos!$BJ$5:$BL$334,2,FALSE)</f>
        <v>ESPECIE</v>
      </c>
      <c r="P440" s="46" t="str">
        <f>VLOOKUP(N440,Datos!$BJ$5:$BL$334,3,FALSE)</f>
        <v>SUBESPECIE</v>
      </c>
      <c r="Q440" s="22"/>
      <c r="R440" s="65"/>
      <c r="S440" s="65"/>
      <c r="T440" s="65"/>
      <c r="U440" s="45"/>
    </row>
    <row r="441" spans="1:21" hidden="1">
      <c r="A441" s="58">
        <v>560</v>
      </c>
      <c r="B441" s="61"/>
      <c r="C441" s="49" t="s">
        <v>2492</v>
      </c>
      <c r="D441" s="49" t="s">
        <v>2492</v>
      </c>
      <c r="E441" s="64" t="s">
        <v>2492</v>
      </c>
      <c r="F441" s="22"/>
      <c r="G441" s="22"/>
      <c r="H441" s="22"/>
      <c r="I441" s="22"/>
      <c r="J441" s="22"/>
      <c r="K441" s="95"/>
      <c r="L441" s="50"/>
      <c r="M441" s="22"/>
      <c r="N441" s="22" t="s">
        <v>2195</v>
      </c>
      <c r="O441" s="46" t="str">
        <f>VLOOKUP(N441,Datos!$BJ$5:$BL$334,2,FALSE)</f>
        <v>ESPECIE</v>
      </c>
      <c r="P441" s="46" t="str">
        <f>VLOOKUP(N441,Datos!$BJ$5:$BL$334,3,FALSE)</f>
        <v>SUBESPECIE</v>
      </c>
      <c r="Q441" s="22"/>
      <c r="R441" s="65"/>
      <c r="S441" s="65"/>
      <c r="T441" s="65"/>
      <c r="U441" s="45"/>
    </row>
    <row r="442" spans="1:21" hidden="1">
      <c r="A442" s="58">
        <v>561</v>
      </c>
      <c r="B442" s="61"/>
      <c r="C442" s="49" t="s">
        <v>2492</v>
      </c>
      <c r="D442" s="49" t="s">
        <v>2492</v>
      </c>
      <c r="E442" s="64" t="s">
        <v>2492</v>
      </c>
      <c r="F442" s="22"/>
      <c r="G442" s="22"/>
      <c r="H442" s="22"/>
      <c r="I442" s="22"/>
      <c r="J442" s="22"/>
      <c r="K442" s="95"/>
      <c r="L442" s="50"/>
      <c r="M442" s="22"/>
      <c r="N442" s="22" t="s">
        <v>2195</v>
      </c>
      <c r="O442" s="46" t="str">
        <f>VLOOKUP(N442,Datos!$BJ$5:$BL$334,2,FALSE)</f>
        <v>ESPECIE</v>
      </c>
      <c r="P442" s="46" t="str">
        <f>VLOOKUP(N442,Datos!$BJ$5:$BL$334,3,FALSE)</f>
        <v>SUBESPECIE</v>
      </c>
      <c r="Q442" s="22"/>
      <c r="R442" s="65"/>
      <c r="S442" s="65"/>
      <c r="T442" s="65"/>
      <c r="U442" s="45"/>
    </row>
    <row r="443" spans="1:21" hidden="1">
      <c r="A443" s="58">
        <v>562</v>
      </c>
      <c r="B443" s="61"/>
      <c r="C443" s="49" t="s">
        <v>2492</v>
      </c>
      <c r="D443" s="49" t="s">
        <v>2492</v>
      </c>
      <c r="E443" s="64" t="s">
        <v>2492</v>
      </c>
      <c r="F443" s="22"/>
      <c r="G443" s="22"/>
      <c r="H443" s="22"/>
      <c r="I443" s="22"/>
      <c r="J443" s="22"/>
      <c r="K443" s="95"/>
      <c r="L443" s="50"/>
      <c r="M443" s="22"/>
      <c r="N443" s="22" t="s">
        <v>2195</v>
      </c>
      <c r="O443" s="46" t="str">
        <f>VLOOKUP(N443,Datos!$BJ$5:$BL$334,2,FALSE)</f>
        <v>ESPECIE</v>
      </c>
      <c r="P443" s="46" t="str">
        <f>VLOOKUP(N443,Datos!$BJ$5:$BL$334,3,FALSE)</f>
        <v>SUBESPECIE</v>
      </c>
      <c r="Q443" s="22"/>
      <c r="R443" s="65"/>
      <c r="S443" s="65"/>
      <c r="T443" s="65"/>
      <c r="U443" s="45"/>
    </row>
    <row r="444" spans="1:21" hidden="1">
      <c r="A444" s="58">
        <v>563</v>
      </c>
      <c r="B444" s="61"/>
      <c r="C444" s="49" t="s">
        <v>2492</v>
      </c>
      <c r="D444" s="49" t="s">
        <v>2492</v>
      </c>
      <c r="E444" s="64" t="s">
        <v>2492</v>
      </c>
      <c r="F444" s="22"/>
      <c r="G444" s="22"/>
      <c r="H444" s="22"/>
      <c r="I444" s="22"/>
      <c r="J444" s="22"/>
      <c r="K444" s="95"/>
      <c r="L444" s="50"/>
      <c r="M444" s="22"/>
      <c r="N444" s="22" t="s">
        <v>2195</v>
      </c>
      <c r="O444" s="46" t="str">
        <f>VLOOKUP(N444,Datos!$BJ$5:$BL$334,2,FALSE)</f>
        <v>ESPECIE</v>
      </c>
      <c r="P444" s="46" t="str">
        <f>VLOOKUP(N444,Datos!$BJ$5:$BL$334,3,FALSE)</f>
        <v>SUBESPECIE</v>
      </c>
      <c r="Q444" s="22"/>
      <c r="R444" s="65"/>
      <c r="S444" s="65"/>
      <c r="T444" s="65"/>
      <c r="U444" s="45"/>
    </row>
    <row r="445" spans="1:21" hidden="1">
      <c r="A445" s="58">
        <v>564</v>
      </c>
      <c r="B445" s="61"/>
      <c r="C445" s="49" t="s">
        <v>2492</v>
      </c>
      <c r="D445" s="49" t="s">
        <v>2492</v>
      </c>
      <c r="E445" s="64" t="s">
        <v>2492</v>
      </c>
      <c r="F445" s="22"/>
      <c r="G445" s="22"/>
      <c r="H445" s="22"/>
      <c r="I445" s="22"/>
      <c r="J445" s="22"/>
      <c r="K445" s="95"/>
      <c r="L445" s="50"/>
      <c r="M445" s="22"/>
      <c r="N445" s="22" t="s">
        <v>2195</v>
      </c>
      <c r="O445" s="46" t="str">
        <f>VLOOKUP(N445,Datos!$BJ$5:$BL$334,2,FALSE)</f>
        <v>ESPECIE</v>
      </c>
      <c r="P445" s="46" t="str">
        <f>VLOOKUP(N445,Datos!$BJ$5:$BL$334,3,FALSE)</f>
        <v>SUBESPECIE</v>
      </c>
      <c r="Q445" s="22"/>
      <c r="R445" s="65"/>
      <c r="S445" s="65"/>
      <c r="T445" s="65"/>
      <c r="U445" s="45"/>
    </row>
    <row r="446" spans="1:21" hidden="1">
      <c r="A446" s="58">
        <v>565</v>
      </c>
      <c r="B446" s="61"/>
      <c r="C446" s="49" t="s">
        <v>2492</v>
      </c>
      <c r="D446" s="49" t="s">
        <v>2492</v>
      </c>
      <c r="E446" s="64" t="s">
        <v>2492</v>
      </c>
      <c r="F446" s="22"/>
      <c r="G446" s="22"/>
      <c r="H446" s="22"/>
      <c r="I446" s="22"/>
      <c r="J446" s="22"/>
      <c r="K446" s="95"/>
      <c r="L446" s="50"/>
      <c r="M446" s="22"/>
      <c r="N446" s="22" t="s">
        <v>2195</v>
      </c>
      <c r="O446" s="46" t="str">
        <f>VLOOKUP(N446,Datos!$BJ$5:$BL$334,2,FALSE)</f>
        <v>ESPECIE</v>
      </c>
      <c r="P446" s="46" t="str">
        <f>VLOOKUP(N446,Datos!$BJ$5:$BL$334,3,FALSE)</f>
        <v>SUBESPECIE</v>
      </c>
      <c r="Q446" s="22"/>
      <c r="R446" s="65"/>
      <c r="S446" s="65"/>
      <c r="T446" s="65"/>
      <c r="U446" s="45"/>
    </row>
    <row r="447" spans="1:21" hidden="1">
      <c r="A447" s="58">
        <v>566</v>
      </c>
      <c r="B447" s="61"/>
      <c r="C447" s="49" t="s">
        <v>2492</v>
      </c>
      <c r="D447" s="49" t="s">
        <v>2492</v>
      </c>
      <c r="E447" s="64" t="s">
        <v>2492</v>
      </c>
      <c r="F447" s="22"/>
      <c r="G447" s="22"/>
      <c r="H447" s="22"/>
      <c r="I447" s="22"/>
      <c r="J447" s="22"/>
      <c r="K447" s="95"/>
      <c r="L447" s="50"/>
      <c r="M447" s="22"/>
      <c r="N447" s="22" t="s">
        <v>2195</v>
      </c>
      <c r="O447" s="46" t="str">
        <f>VLOOKUP(N447,Datos!$BJ$5:$BL$334,2,FALSE)</f>
        <v>ESPECIE</v>
      </c>
      <c r="P447" s="46" t="str">
        <f>VLOOKUP(N447,Datos!$BJ$5:$BL$334,3,FALSE)</f>
        <v>SUBESPECIE</v>
      </c>
      <c r="Q447" s="22"/>
      <c r="R447" s="65"/>
      <c r="S447" s="65"/>
      <c r="T447" s="65"/>
      <c r="U447" s="45"/>
    </row>
    <row r="448" spans="1:21" hidden="1">
      <c r="A448" s="58">
        <v>567</v>
      </c>
      <c r="B448" s="61"/>
      <c r="C448" s="49" t="s">
        <v>2492</v>
      </c>
      <c r="D448" s="49" t="s">
        <v>2492</v>
      </c>
      <c r="E448" s="64" t="s">
        <v>2492</v>
      </c>
      <c r="F448" s="22"/>
      <c r="G448" s="22"/>
      <c r="H448" s="22"/>
      <c r="I448" s="22"/>
      <c r="J448" s="22"/>
      <c r="K448" s="95"/>
      <c r="L448" s="50"/>
      <c r="M448" s="22"/>
      <c r="N448" s="22" t="s">
        <v>2195</v>
      </c>
      <c r="O448" s="46" t="str">
        <f>VLOOKUP(N448,Datos!$BJ$5:$BL$334,2,FALSE)</f>
        <v>ESPECIE</v>
      </c>
      <c r="P448" s="46" t="str">
        <f>VLOOKUP(N448,Datos!$BJ$5:$BL$334,3,FALSE)</f>
        <v>SUBESPECIE</v>
      </c>
      <c r="Q448" s="22"/>
      <c r="R448" s="65"/>
      <c r="S448" s="65"/>
      <c r="T448" s="65"/>
      <c r="U448" s="45"/>
    </row>
    <row r="449" spans="1:21" hidden="1">
      <c r="A449" s="58">
        <v>568</v>
      </c>
      <c r="B449" s="61"/>
      <c r="C449" s="49" t="s">
        <v>2492</v>
      </c>
      <c r="D449" s="49" t="s">
        <v>2492</v>
      </c>
      <c r="E449" s="64" t="s">
        <v>2492</v>
      </c>
      <c r="F449" s="22"/>
      <c r="G449" s="22"/>
      <c r="H449" s="22"/>
      <c r="I449" s="22"/>
      <c r="J449" s="22"/>
      <c r="K449" s="95"/>
      <c r="L449" s="50"/>
      <c r="M449" s="22"/>
      <c r="N449" s="22" t="s">
        <v>2195</v>
      </c>
      <c r="O449" s="46" t="str">
        <f>VLOOKUP(N449,Datos!$BJ$5:$BL$334,2,FALSE)</f>
        <v>ESPECIE</v>
      </c>
      <c r="P449" s="46" t="str">
        <f>VLOOKUP(N449,Datos!$BJ$5:$BL$334,3,FALSE)</f>
        <v>SUBESPECIE</v>
      </c>
      <c r="Q449" s="22"/>
      <c r="R449" s="65"/>
      <c r="S449" s="65"/>
      <c r="T449" s="65"/>
      <c r="U449" s="45"/>
    </row>
    <row r="450" spans="1:21" hidden="1">
      <c r="A450" s="58">
        <v>569</v>
      </c>
      <c r="B450" s="61"/>
      <c r="C450" s="49" t="s">
        <v>2492</v>
      </c>
      <c r="D450" s="49" t="s">
        <v>2492</v>
      </c>
      <c r="E450" s="64" t="s">
        <v>2492</v>
      </c>
      <c r="F450" s="22"/>
      <c r="G450" s="22"/>
      <c r="H450" s="22"/>
      <c r="I450" s="22"/>
      <c r="J450" s="22"/>
      <c r="K450" s="95"/>
      <c r="L450" s="50"/>
      <c r="M450" s="22"/>
      <c r="N450" s="22" t="s">
        <v>2195</v>
      </c>
      <c r="O450" s="46" t="str">
        <f>VLOOKUP(N450,Datos!$BJ$5:$BL$334,2,FALSE)</f>
        <v>ESPECIE</v>
      </c>
      <c r="P450" s="46" t="str">
        <f>VLOOKUP(N450,Datos!$BJ$5:$BL$334,3,FALSE)</f>
        <v>SUBESPECIE</v>
      </c>
      <c r="Q450" s="22"/>
      <c r="R450" s="65"/>
      <c r="S450" s="65"/>
      <c r="T450" s="65"/>
      <c r="U450" s="45"/>
    </row>
    <row r="451" spans="1:21">
      <c r="A451" s="58">
        <v>236</v>
      </c>
      <c r="B451" s="61">
        <v>44358</v>
      </c>
      <c r="C451" s="65" t="s">
        <v>2121</v>
      </c>
      <c r="D451" s="65" t="s">
        <v>2122</v>
      </c>
      <c r="E451" s="66" t="s">
        <v>518</v>
      </c>
      <c r="F451" s="22" t="s">
        <v>1589</v>
      </c>
      <c r="G451" s="112" t="s">
        <v>3267</v>
      </c>
      <c r="H451" s="22" t="s">
        <v>3268</v>
      </c>
      <c r="I451" s="22" t="s">
        <v>2119</v>
      </c>
      <c r="J451" s="22" t="s">
        <v>1790</v>
      </c>
      <c r="K451" s="95" t="s">
        <v>3269</v>
      </c>
      <c r="L451" s="50">
        <v>18</v>
      </c>
      <c r="M451" s="22" t="s">
        <v>2123</v>
      </c>
      <c r="N451" s="22" t="s">
        <v>2162</v>
      </c>
      <c r="O451" s="46"/>
      <c r="P451" s="46"/>
      <c r="Q451" s="22" t="s">
        <v>3272</v>
      </c>
      <c r="R451" s="65" t="s">
        <v>3270</v>
      </c>
      <c r="S451" s="65" t="s">
        <v>3271</v>
      </c>
      <c r="T451" s="65" t="s">
        <v>1575</v>
      </c>
      <c r="U451" s="45" t="s">
        <v>33</v>
      </c>
    </row>
    <row r="452" spans="1:21">
      <c r="A452" s="104">
        <v>237</v>
      </c>
      <c r="B452" s="105">
        <v>44360</v>
      </c>
      <c r="C452" s="49" t="s">
        <v>2121</v>
      </c>
      <c r="D452" s="106" t="s">
        <v>2122</v>
      </c>
      <c r="E452" s="64" t="s">
        <v>518</v>
      </c>
      <c r="F452" s="22" t="s">
        <v>1589</v>
      </c>
      <c r="G452" s="107" t="s">
        <v>3273</v>
      </c>
      <c r="H452" s="102" t="s">
        <v>3274</v>
      </c>
      <c r="I452" s="22" t="s">
        <v>2119</v>
      </c>
      <c r="J452" s="22" t="s">
        <v>1790</v>
      </c>
      <c r="K452" s="111">
        <v>37384771</v>
      </c>
      <c r="L452" s="50">
        <v>27</v>
      </c>
      <c r="M452" s="22" t="s">
        <v>2123</v>
      </c>
      <c r="N452" s="22" t="s">
        <v>2366</v>
      </c>
      <c r="O452" s="46"/>
      <c r="P452" s="46"/>
      <c r="Q452" s="107" t="s">
        <v>3275</v>
      </c>
      <c r="R452" s="65" t="s">
        <v>3277</v>
      </c>
      <c r="S452" s="65" t="s">
        <v>3276</v>
      </c>
      <c r="T452" s="110" t="s">
        <v>1575</v>
      </c>
      <c r="U452" s="45" t="s">
        <v>33</v>
      </c>
    </row>
    <row r="453" spans="1:21">
      <c r="A453" s="104">
        <v>238</v>
      </c>
      <c r="B453" s="117">
        <v>44361</v>
      </c>
      <c r="C453" s="118" t="s">
        <v>2121</v>
      </c>
      <c r="D453" s="118" t="s">
        <v>2122</v>
      </c>
      <c r="E453" s="119" t="s">
        <v>518</v>
      </c>
      <c r="F453" s="120" t="s">
        <v>1589</v>
      </c>
      <c r="G453" s="22" t="s">
        <v>3278</v>
      </c>
      <c r="H453" s="22" t="s">
        <v>3279</v>
      </c>
      <c r="I453" s="22" t="s">
        <v>2119</v>
      </c>
      <c r="J453" s="22" t="s">
        <v>1790</v>
      </c>
      <c r="K453" s="95" t="s">
        <v>3282</v>
      </c>
      <c r="L453" s="108">
        <v>30</v>
      </c>
      <c r="M453" s="107" t="s">
        <v>2123</v>
      </c>
      <c r="N453" s="107" t="s">
        <v>2369</v>
      </c>
      <c r="O453" s="109"/>
      <c r="P453" s="46"/>
      <c r="Q453" s="22" t="s">
        <v>3280</v>
      </c>
      <c r="R453" s="65" t="s">
        <v>3277</v>
      </c>
      <c r="S453" s="110" t="s">
        <v>3281</v>
      </c>
      <c r="T453" s="65" t="s">
        <v>1575</v>
      </c>
      <c r="U453" s="45" t="s">
        <v>33</v>
      </c>
    </row>
    <row r="454" spans="1:21">
      <c r="A454" s="40">
        <v>239</v>
      </c>
      <c r="B454" s="123">
        <v>44365</v>
      </c>
      <c r="C454" s="113" t="s">
        <v>2122</v>
      </c>
      <c r="D454" s="113" t="s">
        <v>2121</v>
      </c>
      <c r="E454" s="114" t="s">
        <v>518</v>
      </c>
      <c r="F454" s="115" t="s">
        <v>1589</v>
      </c>
      <c r="G454" s="116" t="s">
        <v>3283</v>
      </c>
      <c r="H454" s="113" t="s">
        <v>3284</v>
      </c>
      <c r="I454" s="113" t="s">
        <v>2119</v>
      </c>
      <c r="J454" s="122" t="s">
        <v>1790</v>
      </c>
      <c r="K454" s="121" t="s">
        <v>3287</v>
      </c>
      <c r="L454" s="115">
        <v>46</v>
      </c>
      <c r="M454" s="113" t="s">
        <v>2123</v>
      </c>
      <c r="N454" s="122" t="s">
        <v>2170</v>
      </c>
      <c r="O454" s="122"/>
      <c r="P454" s="122"/>
      <c r="Q454" s="122" t="s">
        <v>3286</v>
      </c>
      <c r="R454" s="115" t="s">
        <v>3285</v>
      </c>
      <c r="S454" s="115" t="s">
        <v>3271</v>
      </c>
      <c r="T454" s="115" t="s">
        <v>1575</v>
      </c>
      <c r="U454" s="113" t="s">
        <v>3288</v>
      </c>
    </row>
    <row r="455" spans="1:21">
      <c r="A455" s="113">
        <v>240</v>
      </c>
      <c r="B455" s="125" t="s">
        <v>3294</v>
      </c>
      <c r="C455" s="113" t="s">
        <v>2121</v>
      </c>
      <c r="D455" s="113" t="s">
        <v>2122</v>
      </c>
      <c r="E455" s="114" t="s">
        <v>518</v>
      </c>
      <c r="F455" s="115" t="s">
        <v>1589</v>
      </c>
      <c r="G455" s="113" t="s">
        <v>3289</v>
      </c>
      <c r="H455" s="113" t="s">
        <v>3290</v>
      </c>
      <c r="I455" s="113" t="s">
        <v>2120</v>
      </c>
      <c r="J455" s="115" t="s">
        <v>1790</v>
      </c>
      <c r="K455" s="124">
        <v>39785882</v>
      </c>
      <c r="L455" s="115">
        <v>29</v>
      </c>
      <c r="M455" s="113" t="s">
        <v>2123</v>
      </c>
      <c r="N455" s="122" t="s">
        <v>3291</v>
      </c>
      <c r="O455" s="122"/>
      <c r="P455" s="122"/>
      <c r="Q455" s="122" t="s">
        <v>3292</v>
      </c>
      <c r="R455" s="115" t="s">
        <v>3277</v>
      </c>
      <c r="S455" s="115" t="s">
        <v>3293</v>
      </c>
      <c r="T455" s="115" t="s">
        <v>1575</v>
      </c>
      <c r="U455" s="113" t="s">
        <v>33</v>
      </c>
    </row>
    <row r="456" spans="1:21" ht="15">
      <c r="A456" s="40">
        <v>241</v>
      </c>
      <c r="B456" s="125">
        <v>44377</v>
      </c>
      <c r="C456" s="113" t="s">
        <v>2121</v>
      </c>
      <c r="D456" s="113" t="s">
        <v>2122</v>
      </c>
      <c r="E456" s="114" t="s">
        <v>518</v>
      </c>
      <c r="F456" s="129" t="s">
        <v>1589</v>
      </c>
      <c r="G456" s="113" t="s">
        <v>3297</v>
      </c>
      <c r="H456" s="113" t="s">
        <v>3298</v>
      </c>
      <c r="I456" s="113" t="s">
        <v>2119</v>
      </c>
      <c r="J456" s="115" t="s">
        <v>1790</v>
      </c>
      <c r="K456" s="126">
        <v>44166680</v>
      </c>
      <c r="L456" s="115">
        <v>18</v>
      </c>
      <c r="M456" s="113" t="s">
        <v>2123</v>
      </c>
      <c r="N456" s="122" t="s">
        <v>3295</v>
      </c>
      <c r="O456" s="122"/>
      <c r="P456" s="122"/>
      <c r="Q456" s="127" t="s">
        <v>3296</v>
      </c>
      <c r="R456" s="115" t="s">
        <v>3277</v>
      </c>
      <c r="S456" s="115" t="s">
        <v>3293</v>
      </c>
      <c r="T456" s="115" t="s">
        <v>1575</v>
      </c>
      <c r="U456" s="113" t="s">
        <v>33</v>
      </c>
    </row>
    <row r="457" spans="1:21">
      <c r="A457" s="40">
        <v>242</v>
      </c>
      <c r="B457" s="125">
        <v>44452</v>
      </c>
      <c r="C457" s="113" t="s">
        <v>2121</v>
      </c>
      <c r="D457" s="128" t="s">
        <v>2122</v>
      </c>
      <c r="E457" s="130" t="s">
        <v>518</v>
      </c>
      <c r="F457" s="115" t="s">
        <v>1589</v>
      </c>
      <c r="G457" s="113" t="s">
        <v>3017</v>
      </c>
      <c r="H457" s="113" t="s">
        <v>3299</v>
      </c>
      <c r="I457" s="113" t="s">
        <v>2119</v>
      </c>
      <c r="J457" s="115" t="s">
        <v>1790</v>
      </c>
      <c r="K457" s="124">
        <v>40888242</v>
      </c>
      <c r="L457" s="115">
        <v>29</v>
      </c>
      <c r="M457" s="113" t="s">
        <v>2123</v>
      </c>
      <c r="N457" s="122" t="s">
        <v>2178</v>
      </c>
      <c r="O457" s="122" t="s">
        <v>2178</v>
      </c>
      <c r="P457" s="122" t="s">
        <v>2178</v>
      </c>
      <c r="Q457" s="122" t="s">
        <v>3300</v>
      </c>
      <c r="R457" s="115" t="s">
        <v>3277</v>
      </c>
      <c r="S457" s="115" t="s">
        <v>3301</v>
      </c>
      <c r="T457" s="115" t="s">
        <v>1575</v>
      </c>
      <c r="U457" s="113" t="s">
        <v>33</v>
      </c>
    </row>
    <row r="458" spans="1:21">
      <c r="A458" s="40">
        <v>243</v>
      </c>
      <c r="B458" s="62">
        <v>44467</v>
      </c>
      <c r="C458" s="40" t="s">
        <v>2121</v>
      </c>
      <c r="D458" s="40" t="s">
        <v>2122</v>
      </c>
      <c r="E458" s="130" t="s">
        <v>518</v>
      </c>
      <c r="F458" s="115" t="s">
        <v>1589</v>
      </c>
      <c r="G458" s="40" t="s">
        <v>3302</v>
      </c>
      <c r="H458" s="40" t="s">
        <v>3303</v>
      </c>
      <c r="I458" s="40" t="s">
        <v>2120</v>
      </c>
      <c r="J458" s="115" t="s">
        <v>1790</v>
      </c>
      <c r="K458" s="99">
        <v>34635475</v>
      </c>
      <c r="L458" s="41">
        <v>31</v>
      </c>
      <c r="M458" s="113" t="s">
        <v>2123</v>
      </c>
      <c r="N458" s="42" t="s">
        <v>3304</v>
      </c>
      <c r="O458" s="42"/>
      <c r="P458" s="42"/>
      <c r="Q458" s="122" t="s">
        <v>3305</v>
      </c>
      <c r="R458" s="115" t="s">
        <v>3277</v>
      </c>
      <c r="S458" s="41" t="s">
        <v>3306</v>
      </c>
      <c r="T458" s="115" t="s">
        <v>1575</v>
      </c>
      <c r="U458" s="38" t="s">
        <v>33</v>
      </c>
    </row>
    <row r="459" spans="1:21">
      <c r="E459" s="39"/>
      <c r="F459" s="41"/>
      <c r="J459" s="41"/>
      <c r="N459" s="42"/>
      <c r="O459" s="42"/>
      <c r="P459" s="42"/>
      <c r="Q459" s="42"/>
      <c r="R459" s="115"/>
      <c r="S459" s="41"/>
      <c r="T459" s="41"/>
    </row>
    <row r="460" spans="1:21">
      <c r="E460" s="39"/>
      <c r="F460" s="41"/>
      <c r="J460" s="41"/>
      <c r="N460" s="42"/>
      <c r="O460" s="42"/>
      <c r="P460" s="42"/>
      <c r="Q460" s="42"/>
      <c r="R460" s="41"/>
      <c r="S460" s="41"/>
      <c r="T460" s="41"/>
    </row>
    <row r="461" spans="1:21">
      <c r="A461" s="43"/>
      <c r="B461" s="63"/>
      <c r="C461" s="43"/>
      <c r="D461" s="43"/>
      <c r="E461" s="39"/>
      <c r="F461" s="41"/>
      <c r="G461" s="43"/>
      <c r="J461" s="41"/>
      <c r="N461" s="42"/>
      <c r="O461" s="122"/>
      <c r="P461" s="42"/>
      <c r="Q461" s="42"/>
      <c r="R461" s="41"/>
      <c r="S461" s="41"/>
      <c r="T461" s="41"/>
    </row>
    <row r="462" spans="1:21">
      <c r="E462" s="39"/>
      <c r="F462" s="41"/>
      <c r="J462" s="41"/>
      <c r="N462" s="42"/>
      <c r="O462" s="42"/>
      <c r="P462" s="42"/>
      <c r="Q462" s="42"/>
      <c r="R462" s="41"/>
      <c r="S462" s="41"/>
      <c r="T462" s="41"/>
    </row>
    <row r="463" spans="1:21">
      <c r="E463" s="39"/>
      <c r="F463" s="41"/>
      <c r="J463" s="41"/>
      <c r="N463" s="42"/>
      <c r="O463" s="42"/>
      <c r="P463" s="42"/>
      <c r="Q463" s="42"/>
      <c r="R463" s="41"/>
      <c r="S463" s="41"/>
      <c r="T463" s="41"/>
    </row>
    <row r="464" spans="1:21">
      <c r="E464" s="39"/>
      <c r="F464" s="41"/>
      <c r="J464" s="41"/>
      <c r="N464" s="42"/>
      <c r="O464" s="42"/>
      <c r="P464" s="42"/>
      <c r="Q464" s="42"/>
      <c r="R464" s="41"/>
      <c r="S464" s="41"/>
      <c r="T464" s="41"/>
    </row>
    <row r="465" spans="5:20">
      <c r="E465" s="39"/>
      <c r="F465" s="41"/>
      <c r="J465" s="41"/>
      <c r="N465" s="42"/>
      <c r="O465" s="42"/>
      <c r="P465" s="42"/>
      <c r="Q465" s="42"/>
      <c r="R465" s="41"/>
      <c r="S465" s="41"/>
      <c r="T465" s="41"/>
    </row>
    <row r="466" spans="5:20">
      <c r="E466" s="39"/>
      <c r="F466" s="41"/>
      <c r="J466" s="41"/>
      <c r="N466" s="42"/>
      <c r="O466" s="42"/>
      <c r="P466" s="42"/>
      <c r="Q466" s="42"/>
      <c r="R466" s="41"/>
      <c r="S466" s="41"/>
      <c r="T466" s="41"/>
    </row>
    <row r="467" spans="5:20">
      <c r="E467" s="39"/>
      <c r="F467" s="41"/>
      <c r="J467" s="41"/>
      <c r="N467" s="42"/>
      <c r="O467" s="42"/>
      <c r="P467" s="42"/>
      <c r="Q467" s="42"/>
      <c r="R467" s="41"/>
      <c r="S467" s="41"/>
      <c r="T467" s="41"/>
    </row>
    <row r="468" spans="5:20">
      <c r="E468" s="39"/>
      <c r="F468" s="41"/>
      <c r="J468" s="41"/>
      <c r="N468" s="42"/>
      <c r="O468" s="42"/>
      <c r="P468" s="42"/>
      <c r="Q468" s="42"/>
      <c r="R468" s="41"/>
      <c r="S468" s="41"/>
      <c r="T468" s="41"/>
    </row>
    <row r="469" spans="5:20">
      <c r="E469" s="39"/>
      <c r="F469" s="41"/>
      <c r="J469" s="41"/>
      <c r="N469" s="42"/>
      <c r="O469" s="42"/>
      <c r="P469" s="42"/>
      <c r="Q469" s="42"/>
      <c r="R469" s="41"/>
      <c r="S469" s="41"/>
      <c r="T469" s="41"/>
    </row>
    <row r="470" spans="5:20">
      <c r="E470" s="39"/>
      <c r="F470" s="41"/>
      <c r="J470" s="41"/>
      <c r="N470" s="42"/>
      <c r="O470" s="42"/>
      <c r="P470" s="42"/>
      <c r="Q470" s="42"/>
      <c r="R470" s="41"/>
      <c r="S470" s="41"/>
      <c r="T470" s="41"/>
    </row>
    <row r="471" spans="5:20">
      <c r="E471" s="39"/>
      <c r="F471" s="41"/>
      <c r="J471" s="41"/>
      <c r="N471" s="42"/>
      <c r="O471" s="42"/>
      <c r="P471" s="42"/>
      <c r="Q471" s="42"/>
      <c r="R471" s="41"/>
      <c r="S471" s="41"/>
      <c r="T471" s="41"/>
    </row>
    <row r="472" spans="5:20">
      <c r="E472" s="39"/>
      <c r="F472" s="41"/>
      <c r="J472" s="41"/>
      <c r="N472" s="42"/>
      <c r="O472" s="42"/>
      <c r="P472" s="42"/>
      <c r="Q472" s="42"/>
      <c r="R472" s="41"/>
      <c r="S472" s="41"/>
      <c r="T472" s="41"/>
    </row>
    <row r="473" spans="5:20">
      <c r="E473" s="39"/>
      <c r="F473" s="41"/>
      <c r="J473" s="41"/>
      <c r="N473" s="42"/>
      <c r="O473" s="42"/>
      <c r="P473" s="42"/>
      <c r="Q473" s="42"/>
      <c r="R473" s="41"/>
      <c r="S473" s="41"/>
      <c r="T473" s="41"/>
    </row>
    <row r="474" spans="5:20">
      <c r="E474" s="39"/>
      <c r="F474" s="41"/>
      <c r="J474" s="41"/>
      <c r="N474" s="42"/>
      <c r="O474" s="42"/>
      <c r="P474" s="42"/>
      <c r="Q474" s="42"/>
      <c r="R474" s="41"/>
      <c r="S474" s="41"/>
      <c r="T474" s="41"/>
    </row>
    <row r="475" spans="5:20">
      <c r="E475" s="39"/>
      <c r="F475" s="41"/>
      <c r="J475" s="41"/>
      <c r="N475" s="42"/>
      <c r="O475" s="42"/>
      <c r="P475" s="42"/>
      <c r="Q475" s="42"/>
      <c r="R475" s="41"/>
      <c r="S475" s="41"/>
      <c r="T475" s="41"/>
    </row>
    <row r="476" spans="5:20">
      <c r="E476" s="39"/>
      <c r="F476" s="41"/>
      <c r="J476" s="41"/>
      <c r="N476" s="42"/>
      <c r="O476" s="42"/>
      <c r="P476" s="42"/>
      <c r="Q476" s="42"/>
      <c r="R476" s="41"/>
      <c r="S476" s="41"/>
      <c r="T476" s="41"/>
    </row>
    <row r="477" spans="5:20">
      <c r="E477" s="39"/>
      <c r="F477" s="41"/>
      <c r="J477" s="41"/>
      <c r="N477" s="42"/>
      <c r="O477" s="42"/>
      <c r="P477" s="42"/>
      <c r="Q477" s="42"/>
      <c r="R477" s="41"/>
      <c r="S477" s="41"/>
      <c r="T477" s="41"/>
    </row>
    <row r="478" spans="5:20">
      <c r="E478" s="39"/>
      <c r="F478" s="41"/>
      <c r="J478" s="41"/>
      <c r="N478" s="42"/>
      <c r="O478" s="42"/>
      <c r="P478" s="42"/>
      <c r="Q478" s="42"/>
      <c r="R478" s="41"/>
      <c r="S478" s="41"/>
      <c r="T478" s="41"/>
    </row>
    <row r="479" spans="5:20">
      <c r="E479" s="39"/>
      <c r="F479" s="41"/>
      <c r="J479" s="41"/>
      <c r="N479" s="42"/>
      <c r="O479" s="42"/>
      <c r="P479" s="42"/>
      <c r="Q479" s="42"/>
      <c r="R479" s="41"/>
      <c r="S479" s="41"/>
      <c r="T479" s="41"/>
    </row>
    <row r="480" spans="5:20">
      <c r="E480" s="39"/>
      <c r="F480" s="41"/>
      <c r="J480" s="41"/>
      <c r="N480" s="42"/>
      <c r="O480" s="42"/>
      <c r="P480" s="42"/>
      <c r="Q480" s="42"/>
      <c r="R480" s="41"/>
      <c r="S480" s="41"/>
      <c r="T480" s="41"/>
    </row>
    <row r="481" spans="1:20">
      <c r="E481" s="39"/>
      <c r="F481" s="41"/>
      <c r="J481" s="41"/>
      <c r="N481" s="42"/>
      <c r="O481" s="42"/>
      <c r="P481" s="42"/>
      <c r="Q481" s="42"/>
      <c r="R481" s="41"/>
      <c r="S481" s="41"/>
      <c r="T481" s="41"/>
    </row>
    <row r="482" spans="1:20">
      <c r="E482" s="39"/>
      <c r="F482" s="41"/>
      <c r="J482" s="41"/>
      <c r="N482" s="42"/>
      <c r="O482" s="42"/>
      <c r="P482" s="42"/>
      <c r="Q482" s="42"/>
      <c r="R482" s="41"/>
      <c r="S482" s="41"/>
      <c r="T482" s="41"/>
    </row>
    <row r="483" spans="1:20">
      <c r="E483" s="39"/>
      <c r="F483" s="41"/>
      <c r="J483" s="41"/>
      <c r="N483" s="42"/>
      <c r="O483" s="42"/>
      <c r="P483" s="42"/>
      <c r="Q483" s="42"/>
      <c r="R483" s="41"/>
      <c r="S483" s="41"/>
      <c r="T483" s="41"/>
    </row>
    <row r="484" spans="1:20">
      <c r="E484" s="39"/>
      <c r="F484" s="41"/>
      <c r="J484" s="41"/>
      <c r="N484" s="42"/>
      <c r="O484" s="42"/>
      <c r="P484" s="42"/>
      <c r="Q484" s="42"/>
      <c r="R484" s="41"/>
      <c r="S484" s="41"/>
      <c r="T484" s="41"/>
    </row>
    <row r="485" spans="1:20">
      <c r="E485" s="39"/>
      <c r="F485" s="41"/>
      <c r="J485" s="41"/>
      <c r="N485" s="42"/>
      <c r="O485" s="42"/>
      <c r="P485" s="42"/>
      <c r="Q485" s="42"/>
      <c r="R485" s="41"/>
      <c r="S485" s="41"/>
      <c r="T485" s="41"/>
    </row>
    <row r="486" spans="1:20">
      <c r="E486" s="39"/>
      <c r="F486" s="41"/>
      <c r="J486" s="41"/>
      <c r="N486" s="42"/>
      <c r="O486" s="42"/>
      <c r="P486" s="42"/>
      <c r="Q486" s="42"/>
      <c r="R486" s="41"/>
      <c r="S486" s="41"/>
      <c r="T486" s="41"/>
    </row>
    <row r="487" spans="1:20">
      <c r="A487" s="43"/>
      <c r="B487" s="63"/>
      <c r="C487" s="43"/>
      <c r="D487" s="43"/>
      <c r="E487" s="39"/>
      <c r="F487" s="41"/>
      <c r="G487" s="43"/>
      <c r="H487" s="43"/>
      <c r="J487" s="41"/>
      <c r="N487" s="42"/>
      <c r="O487" s="42"/>
      <c r="P487" s="42"/>
      <c r="Q487" s="42"/>
      <c r="R487" s="41"/>
      <c r="S487" s="41"/>
      <c r="T487" s="41"/>
    </row>
    <row r="488" spans="1:20">
      <c r="E488" s="39"/>
      <c r="F488" s="41"/>
      <c r="J488" s="41"/>
      <c r="N488" s="42"/>
      <c r="O488" s="42"/>
      <c r="P488" s="42"/>
      <c r="Q488" s="42"/>
      <c r="R488" s="41"/>
      <c r="S488" s="41"/>
      <c r="T488" s="41"/>
    </row>
    <row r="489" spans="1:20">
      <c r="E489" s="39"/>
      <c r="F489" s="41"/>
      <c r="J489" s="41"/>
      <c r="N489" s="42"/>
      <c r="O489" s="42"/>
      <c r="P489" s="42"/>
      <c r="Q489" s="42"/>
      <c r="R489" s="41"/>
      <c r="S489" s="41"/>
      <c r="T489" s="41"/>
    </row>
    <row r="490" spans="1:20">
      <c r="E490" s="39"/>
      <c r="F490" s="41"/>
      <c r="J490" s="41"/>
      <c r="N490" s="42"/>
      <c r="O490" s="42"/>
      <c r="P490" s="42"/>
      <c r="Q490" s="42"/>
      <c r="R490" s="41"/>
      <c r="S490" s="41"/>
      <c r="T490" s="41"/>
    </row>
    <row r="491" spans="1:20">
      <c r="E491" s="39"/>
      <c r="F491" s="41"/>
      <c r="J491" s="41"/>
      <c r="N491" s="42"/>
      <c r="O491" s="42"/>
      <c r="P491" s="42"/>
      <c r="Q491" s="42"/>
      <c r="R491" s="41"/>
      <c r="S491" s="41"/>
      <c r="T491" s="41"/>
    </row>
    <row r="492" spans="1:20">
      <c r="E492" s="39"/>
      <c r="F492" s="41"/>
      <c r="J492" s="41"/>
      <c r="N492" s="42"/>
      <c r="O492" s="42"/>
      <c r="P492" s="42"/>
      <c r="Q492" s="42"/>
      <c r="R492" s="41"/>
      <c r="S492" s="41"/>
      <c r="T492" s="41"/>
    </row>
    <row r="493" spans="1:20">
      <c r="E493" s="39"/>
      <c r="F493" s="41"/>
      <c r="J493" s="41"/>
      <c r="N493" s="42"/>
      <c r="O493" s="42"/>
      <c r="P493" s="42"/>
      <c r="Q493" s="42"/>
      <c r="R493" s="41"/>
      <c r="S493" s="41"/>
      <c r="T493" s="41"/>
    </row>
    <row r="494" spans="1:20">
      <c r="E494" s="39"/>
      <c r="F494" s="41"/>
      <c r="J494" s="41"/>
      <c r="N494" s="42"/>
      <c r="O494" s="42"/>
      <c r="P494" s="42"/>
      <c r="Q494" s="42"/>
      <c r="R494" s="41"/>
      <c r="S494" s="41"/>
      <c r="T494" s="41"/>
    </row>
    <row r="495" spans="1:20">
      <c r="E495" s="39"/>
      <c r="F495" s="41"/>
      <c r="J495" s="41"/>
      <c r="N495" s="42"/>
      <c r="O495" s="42"/>
      <c r="P495" s="42"/>
      <c r="Q495" s="42"/>
      <c r="R495" s="41"/>
      <c r="S495" s="41"/>
      <c r="T495" s="41"/>
    </row>
    <row r="496" spans="1:20">
      <c r="E496" s="39"/>
      <c r="F496" s="41"/>
      <c r="J496" s="41"/>
      <c r="N496" s="42"/>
      <c r="O496" s="42"/>
      <c r="P496" s="42"/>
      <c r="Q496" s="42"/>
      <c r="R496" s="41"/>
      <c r="S496" s="41"/>
      <c r="T496" s="41"/>
    </row>
    <row r="497" spans="1:20">
      <c r="E497" s="39"/>
      <c r="F497" s="41"/>
      <c r="J497" s="41"/>
      <c r="N497" s="42"/>
      <c r="O497" s="42"/>
      <c r="P497" s="42"/>
      <c r="Q497" s="42"/>
      <c r="R497" s="41"/>
      <c r="S497" s="41"/>
      <c r="T497" s="41"/>
    </row>
    <row r="498" spans="1:20">
      <c r="E498" s="39"/>
      <c r="F498" s="41"/>
      <c r="J498" s="41"/>
      <c r="N498" s="42"/>
      <c r="O498" s="42"/>
      <c r="P498" s="42"/>
      <c r="Q498" s="42"/>
      <c r="R498" s="41"/>
      <c r="S498" s="41"/>
      <c r="T498" s="41"/>
    </row>
    <row r="499" spans="1:20">
      <c r="E499" s="39"/>
      <c r="F499" s="41"/>
      <c r="J499" s="41"/>
      <c r="N499" s="42"/>
      <c r="O499" s="42"/>
      <c r="P499" s="42"/>
      <c r="Q499" s="42"/>
      <c r="R499" s="41"/>
      <c r="S499" s="41"/>
      <c r="T499" s="41"/>
    </row>
    <row r="500" spans="1:20">
      <c r="A500" s="43"/>
      <c r="B500" s="63"/>
      <c r="C500" s="43"/>
      <c r="D500" s="43"/>
      <c r="E500" s="39"/>
      <c r="F500" s="41"/>
      <c r="G500" s="43"/>
      <c r="J500" s="41"/>
      <c r="N500" s="42"/>
      <c r="O500" s="42"/>
      <c r="P500" s="42"/>
      <c r="Q500" s="42"/>
      <c r="R500" s="41"/>
      <c r="S500" s="41"/>
      <c r="T500" s="41"/>
    </row>
    <row r="501" spans="1:20">
      <c r="E501" s="39"/>
      <c r="F501" s="41"/>
      <c r="J501" s="41"/>
      <c r="N501" s="42"/>
      <c r="O501" s="42"/>
      <c r="P501" s="42"/>
      <c r="Q501" s="42"/>
      <c r="R501" s="41"/>
      <c r="S501" s="41"/>
      <c r="T501" s="41"/>
    </row>
    <row r="502" spans="1:20">
      <c r="E502" s="39"/>
      <c r="F502" s="41"/>
      <c r="J502" s="41"/>
      <c r="N502" s="42"/>
      <c r="O502" s="42"/>
      <c r="P502" s="42"/>
      <c r="Q502" s="42"/>
      <c r="R502" s="41"/>
      <c r="S502" s="41"/>
      <c r="T502" s="41"/>
    </row>
    <row r="503" spans="1:20">
      <c r="E503" s="39"/>
      <c r="F503" s="41"/>
      <c r="J503" s="41"/>
      <c r="N503" s="42"/>
      <c r="O503" s="42"/>
      <c r="P503" s="42"/>
      <c r="Q503" s="42"/>
      <c r="R503" s="41"/>
      <c r="S503" s="41"/>
      <c r="T503" s="41"/>
    </row>
    <row r="504" spans="1:20">
      <c r="E504" s="39"/>
      <c r="F504" s="41"/>
      <c r="J504" s="41"/>
      <c r="N504" s="42"/>
      <c r="O504" s="42"/>
      <c r="P504" s="42"/>
      <c r="Q504" s="42"/>
      <c r="R504" s="41"/>
      <c r="S504" s="41"/>
      <c r="T504" s="41"/>
    </row>
    <row r="505" spans="1:20">
      <c r="E505" s="39"/>
      <c r="F505" s="41"/>
      <c r="J505" s="41"/>
      <c r="N505" s="42"/>
      <c r="O505" s="42"/>
      <c r="P505" s="42"/>
      <c r="Q505" s="42"/>
      <c r="R505" s="41"/>
      <c r="S505" s="41"/>
      <c r="T505" s="41"/>
    </row>
    <row r="506" spans="1:20">
      <c r="E506" s="39"/>
      <c r="F506" s="41"/>
      <c r="J506" s="41"/>
      <c r="N506" s="42"/>
      <c r="O506" s="42"/>
      <c r="P506" s="42"/>
      <c r="Q506" s="42"/>
      <c r="R506" s="41"/>
      <c r="S506" s="41"/>
      <c r="T506" s="41"/>
    </row>
    <row r="507" spans="1:20">
      <c r="E507" s="39"/>
      <c r="F507" s="41"/>
      <c r="J507" s="41"/>
      <c r="N507" s="42"/>
      <c r="O507" s="42"/>
      <c r="P507" s="42"/>
      <c r="Q507" s="42"/>
      <c r="R507" s="41"/>
      <c r="S507" s="41"/>
      <c r="T507" s="41"/>
    </row>
    <row r="508" spans="1:20">
      <c r="E508" s="39"/>
      <c r="F508" s="41"/>
      <c r="J508" s="41"/>
      <c r="N508" s="42"/>
      <c r="O508" s="42"/>
      <c r="P508" s="42"/>
      <c r="Q508" s="42"/>
      <c r="R508" s="41"/>
      <c r="S508" s="41"/>
      <c r="T508" s="41"/>
    </row>
    <row r="509" spans="1:20">
      <c r="E509" s="39"/>
      <c r="F509" s="41"/>
      <c r="J509" s="41"/>
      <c r="N509" s="42"/>
      <c r="O509" s="42"/>
      <c r="P509" s="42"/>
      <c r="Q509" s="42"/>
      <c r="R509" s="41"/>
      <c r="S509" s="41"/>
      <c r="T509" s="41"/>
    </row>
    <row r="510" spans="1:20">
      <c r="E510" s="39"/>
      <c r="F510" s="41"/>
      <c r="J510" s="41"/>
      <c r="N510" s="42"/>
      <c r="O510" s="42"/>
      <c r="P510" s="42"/>
      <c r="Q510" s="42"/>
      <c r="R510" s="41"/>
      <c r="S510" s="41"/>
      <c r="T510" s="41"/>
    </row>
    <row r="511" spans="1:20">
      <c r="E511" s="39"/>
      <c r="F511" s="41"/>
      <c r="J511" s="41"/>
      <c r="N511" s="42"/>
      <c r="O511" s="42"/>
      <c r="P511" s="42"/>
      <c r="Q511" s="42"/>
      <c r="R511" s="41"/>
      <c r="S511" s="41"/>
      <c r="T511" s="41"/>
    </row>
    <row r="512" spans="1:20">
      <c r="E512" s="39"/>
      <c r="F512" s="41"/>
      <c r="J512" s="41"/>
      <c r="N512" s="42"/>
      <c r="O512" s="42"/>
      <c r="P512" s="42"/>
      <c r="Q512" s="42"/>
      <c r="R512" s="41"/>
      <c r="S512" s="41"/>
      <c r="T512" s="41"/>
    </row>
    <row r="513" spans="1:20">
      <c r="E513" s="39"/>
      <c r="F513" s="41"/>
      <c r="J513" s="41"/>
      <c r="N513" s="42"/>
      <c r="O513" s="42"/>
      <c r="P513" s="42"/>
      <c r="Q513" s="42"/>
      <c r="R513" s="41"/>
      <c r="S513" s="41"/>
      <c r="T513" s="41"/>
    </row>
    <row r="514" spans="1:20">
      <c r="E514" s="39"/>
      <c r="F514" s="41"/>
      <c r="J514" s="41"/>
      <c r="N514" s="42"/>
      <c r="O514" s="42"/>
      <c r="P514" s="42"/>
      <c r="Q514" s="42"/>
      <c r="R514" s="41"/>
      <c r="S514" s="41"/>
      <c r="T514" s="41"/>
    </row>
    <row r="515" spans="1:20">
      <c r="E515" s="39"/>
      <c r="F515" s="41"/>
      <c r="J515" s="41"/>
      <c r="N515" s="42"/>
      <c r="O515" s="42"/>
      <c r="P515" s="42"/>
      <c r="Q515" s="42"/>
      <c r="R515" s="41"/>
      <c r="S515" s="41"/>
      <c r="T515" s="41"/>
    </row>
    <row r="516" spans="1:20">
      <c r="E516" s="39"/>
      <c r="F516" s="41"/>
      <c r="J516" s="41"/>
      <c r="N516" s="42"/>
      <c r="O516" s="42"/>
      <c r="P516" s="42"/>
      <c r="Q516" s="42"/>
      <c r="R516" s="41"/>
      <c r="S516" s="41"/>
      <c r="T516" s="41"/>
    </row>
    <row r="517" spans="1:20">
      <c r="E517" s="39"/>
      <c r="F517" s="41"/>
      <c r="J517" s="41"/>
      <c r="N517" s="42"/>
      <c r="O517" s="42"/>
      <c r="P517" s="42"/>
      <c r="Q517" s="42"/>
      <c r="R517" s="41"/>
      <c r="S517" s="41"/>
      <c r="T517" s="41"/>
    </row>
    <row r="518" spans="1:20">
      <c r="E518" s="39"/>
      <c r="F518" s="41"/>
      <c r="J518" s="41"/>
      <c r="N518" s="42"/>
      <c r="O518" s="42"/>
      <c r="P518" s="42"/>
      <c r="Q518" s="42"/>
      <c r="R518" s="41"/>
      <c r="S518" s="41"/>
      <c r="T518" s="41"/>
    </row>
    <row r="519" spans="1:20">
      <c r="E519" s="39"/>
      <c r="F519" s="41"/>
      <c r="J519" s="41"/>
      <c r="N519" s="42"/>
      <c r="O519" s="42"/>
      <c r="P519" s="42"/>
      <c r="Q519" s="42"/>
      <c r="R519" s="41"/>
      <c r="S519" s="41"/>
      <c r="T519" s="41"/>
    </row>
    <row r="520" spans="1:20">
      <c r="E520" s="39"/>
      <c r="F520" s="41"/>
      <c r="J520" s="41"/>
      <c r="N520" s="42"/>
      <c r="O520" s="42"/>
      <c r="P520" s="42"/>
      <c r="Q520" s="42"/>
      <c r="R520" s="41"/>
      <c r="S520" s="41"/>
      <c r="T520" s="41"/>
    </row>
    <row r="521" spans="1:20">
      <c r="E521" s="39"/>
      <c r="F521" s="41"/>
      <c r="J521" s="41"/>
      <c r="N521" s="42"/>
      <c r="O521" s="42"/>
      <c r="P521" s="42"/>
      <c r="Q521" s="42"/>
      <c r="R521" s="41"/>
      <c r="S521" s="41"/>
      <c r="T521" s="41"/>
    </row>
    <row r="522" spans="1:20">
      <c r="A522" s="43"/>
      <c r="B522" s="63"/>
      <c r="C522" s="43"/>
      <c r="D522" s="43"/>
      <c r="E522" s="39"/>
      <c r="F522" s="41"/>
      <c r="G522" s="43"/>
      <c r="J522" s="41"/>
      <c r="N522" s="42"/>
      <c r="O522" s="42"/>
      <c r="P522" s="42"/>
      <c r="Q522" s="42"/>
      <c r="R522" s="41"/>
      <c r="S522" s="41"/>
      <c r="T522" s="41"/>
    </row>
    <row r="523" spans="1:20">
      <c r="E523" s="39"/>
      <c r="F523" s="41"/>
      <c r="J523" s="41"/>
      <c r="N523" s="42"/>
      <c r="O523" s="42"/>
      <c r="P523" s="42"/>
      <c r="Q523" s="42"/>
      <c r="R523" s="41"/>
      <c r="S523" s="41"/>
      <c r="T523" s="41"/>
    </row>
    <row r="524" spans="1:20">
      <c r="E524" s="39"/>
      <c r="F524" s="41"/>
      <c r="J524" s="41"/>
      <c r="N524" s="42"/>
      <c r="O524" s="42"/>
      <c r="P524" s="42"/>
      <c r="Q524" s="42"/>
      <c r="R524" s="41"/>
      <c r="S524" s="41"/>
      <c r="T524" s="41"/>
    </row>
    <row r="525" spans="1:20">
      <c r="E525" s="39"/>
      <c r="F525" s="41"/>
      <c r="J525" s="41"/>
      <c r="N525" s="42"/>
      <c r="O525" s="42"/>
      <c r="P525" s="42"/>
      <c r="Q525" s="42"/>
      <c r="R525" s="41"/>
      <c r="S525" s="41"/>
      <c r="T525" s="41"/>
    </row>
    <row r="526" spans="1:20">
      <c r="E526" s="39"/>
      <c r="F526" s="41"/>
      <c r="J526" s="41"/>
      <c r="N526" s="42"/>
      <c r="O526" s="42"/>
      <c r="P526" s="42"/>
      <c r="Q526" s="42"/>
      <c r="R526" s="41"/>
      <c r="S526" s="41"/>
      <c r="T526" s="41"/>
    </row>
    <row r="527" spans="1:20">
      <c r="E527" s="39"/>
      <c r="F527" s="41"/>
      <c r="J527" s="41"/>
      <c r="N527" s="42"/>
      <c r="O527" s="42"/>
      <c r="P527" s="42"/>
      <c r="Q527" s="42"/>
      <c r="R527" s="41"/>
      <c r="S527" s="41"/>
      <c r="T527" s="41"/>
    </row>
    <row r="528" spans="1:20">
      <c r="E528" s="39"/>
      <c r="F528" s="41"/>
      <c r="J528" s="41"/>
      <c r="N528" s="42"/>
      <c r="O528" s="42"/>
      <c r="P528" s="42"/>
      <c r="Q528" s="42"/>
      <c r="R528" s="41"/>
      <c r="S528" s="41"/>
      <c r="T528" s="41"/>
    </row>
    <row r="529" spans="5:20">
      <c r="E529" s="39"/>
      <c r="F529" s="41"/>
      <c r="J529" s="41"/>
      <c r="N529" s="42"/>
      <c r="O529" s="42"/>
      <c r="P529" s="42"/>
      <c r="Q529" s="42"/>
      <c r="R529" s="41"/>
      <c r="S529" s="41"/>
      <c r="T529" s="41"/>
    </row>
    <row r="530" spans="5:20">
      <c r="E530" s="39"/>
      <c r="F530" s="41"/>
      <c r="J530" s="41"/>
      <c r="N530" s="42"/>
      <c r="O530" s="42"/>
      <c r="P530" s="42"/>
      <c r="Q530" s="42"/>
      <c r="R530" s="41"/>
      <c r="S530" s="41"/>
      <c r="T530" s="41"/>
    </row>
    <row r="531" spans="5:20">
      <c r="E531" s="39"/>
      <c r="F531" s="41"/>
      <c r="J531" s="41"/>
      <c r="N531" s="42"/>
      <c r="O531" s="42"/>
      <c r="P531" s="42"/>
      <c r="Q531" s="42"/>
      <c r="R531" s="41"/>
      <c r="S531" s="41"/>
      <c r="T531" s="41"/>
    </row>
    <row r="532" spans="5:20">
      <c r="E532" s="39"/>
      <c r="F532" s="41"/>
      <c r="J532" s="41"/>
      <c r="N532" s="42"/>
      <c r="O532" s="42"/>
      <c r="P532" s="42"/>
      <c r="Q532" s="42"/>
      <c r="R532" s="41"/>
      <c r="S532" s="41"/>
      <c r="T532" s="41"/>
    </row>
    <row r="533" spans="5:20">
      <c r="E533" s="39"/>
      <c r="F533" s="41"/>
      <c r="J533" s="41"/>
      <c r="N533" s="42"/>
      <c r="O533" s="42"/>
      <c r="P533" s="42"/>
      <c r="Q533" s="42"/>
      <c r="R533" s="41"/>
      <c r="S533" s="41"/>
      <c r="T533" s="41"/>
    </row>
    <row r="534" spans="5:20">
      <c r="E534" s="39"/>
      <c r="F534" s="41"/>
      <c r="J534" s="41"/>
      <c r="N534" s="42"/>
      <c r="O534" s="42"/>
      <c r="P534" s="42"/>
      <c r="Q534" s="42"/>
      <c r="R534" s="41"/>
      <c r="S534" s="41"/>
      <c r="T534" s="41"/>
    </row>
    <row r="535" spans="5:20">
      <c r="E535" s="39"/>
      <c r="F535" s="41"/>
      <c r="J535" s="41"/>
      <c r="N535" s="42"/>
      <c r="O535" s="42"/>
      <c r="P535" s="42"/>
      <c r="Q535" s="42"/>
      <c r="R535" s="41"/>
      <c r="S535" s="41"/>
      <c r="T535" s="41"/>
    </row>
    <row r="536" spans="5:20">
      <c r="E536" s="39"/>
      <c r="F536" s="41"/>
      <c r="J536" s="41"/>
      <c r="N536" s="42"/>
      <c r="O536" s="42"/>
      <c r="P536" s="42"/>
      <c r="Q536" s="42"/>
      <c r="R536" s="41"/>
      <c r="S536" s="41"/>
      <c r="T536" s="41"/>
    </row>
    <row r="537" spans="5:20">
      <c r="E537" s="39"/>
      <c r="F537" s="41"/>
      <c r="J537" s="41"/>
      <c r="N537" s="42"/>
      <c r="O537" s="42"/>
      <c r="P537" s="42"/>
      <c r="Q537" s="42"/>
      <c r="R537" s="41"/>
      <c r="S537" s="41"/>
      <c r="T537" s="41"/>
    </row>
    <row r="538" spans="5:20">
      <c r="E538" s="39"/>
      <c r="F538" s="41"/>
      <c r="J538" s="41"/>
      <c r="N538" s="42"/>
      <c r="O538" s="42"/>
      <c r="P538" s="42"/>
      <c r="Q538" s="42"/>
      <c r="R538" s="41"/>
      <c r="S538" s="41"/>
      <c r="T538" s="41"/>
    </row>
    <row r="539" spans="5:20">
      <c r="E539" s="39"/>
      <c r="F539" s="41"/>
      <c r="J539" s="41"/>
      <c r="N539" s="42"/>
      <c r="O539" s="42"/>
      <c r="P539" s="42"/>
      <c r="Q539" s="42"/>
      <c r="R539" s="41"/>
      <c r="S539" s="41"/>
      <c r="T539" s="41"/>
    </row>
    <row r="540" spans="5:20">
      <c r="E540" s="39"/>
      <c r="F540" s="41"/>
      <c r="J540" s="41"/>
      <c r="N540" s="42"/>
      <c r="O540" s="42"/>
      <c r="P540" s="42"/>
      <c r="Q540" s="42"/>
      <c r="R540" s="41"/>
      <c r="S540" s="41"/>
      <c r="T540" s="41"/>
    </row>
    <row r="541" spans="5:20">
      <c r="E541" s="39"/>
      <c r="F541" s="41"/>
      <c r="J541" s="41"/>
      <c r="N541" s="42"/>
      <c r="O541" s="42"/>
      <c r="P541" s="42"/>
      <c r="Q541" s="42"/>
      <c r="R541" s="41"/>
      <c r="S541" s="41"/>
      <c r="T541" s="41"/>
    </row>
    <row r="542" spans="5:20">
      <c r="E542" s="39"/>
      <c r="F542" s="41"/>
      <c r="J542" s="41"/>
      <c r="N542" s="42"/>
      <c r="O542" s="42"/>
      <c r="P542" s="42"/>
      <c r="Q542" s="42"/>
      <c r="R542" s="41"/>
      <c r="S542" s="41"/>
      <c r="T542" s="41"/>
    </row>
    <row r="543" spans="5:20">
      <c r="E543" s="39"/>
      <c r="F543" s="41"/>
      <c r="J543" s="41"/>
      <c r="N543" s="42"/>
      <c r="O543" s="42"/>
      <c r="P543" s="42"/>
      <c r="Q543" s="42"/>
      <c r="R543" s="41"/>
      <c r="S543" s="41"/>
      <c r="T543" s="41"/>
    </row>
    <row r="544" spans="5:20">
      <c r="E544" s="39"/>
      <c r="F544" s="41"/>
      <c r="J544" s="41"/>
      <c r="N544" s="42"/>
      <c r="O544" s="42"/>
      <c r="P544" s="42"/>
      <c r="Q544" s="42"/>
      <c r="R544" s="41"/>
      <c r="S544" s="41"/>
      <c r="T544" s="41"/>
    </row>
    <row r="545" spans="5:20">
      <c r="E545" s="39"/>
      <c r="F545" s="41"/>
      <c r="J545" s="41"/>
      <c r="N545" s="42"/>
      <c r="O545" s="42"/>
      <c r="P545" s="42"/>
      <c r="Q545" s="42"/>
      <c r="R545" s="41"/>
      <c r="S545" s="41"/>
      <c r="T545" s="41"/>
    </row>
    <row r="546" spans="5:20">
      <c r="E546" s="39"/>
      <c r="F546" s="41"/>
      <c r="J546" s="41"/>
      <c r="N546" s="42"/>
      <c r="O546" s="42"/>
      <c r="P546" s="42"/>
      <c r="Q546" s="42"/>
      <c r="R546" s="41"/>
      <c r="S546" s="41"/>
      <c r="T546" s="41"/>
    </row>
    <row r="547" spans="5:20">
      <c r="E547" s="39"/>
      <c r="F547" s="41"/>
      <c r="J547" s="41"/>
      <c r="N547" s="42"/>
      <c r="O547" s="42"/>
      <c r="P547" s="42"/>
      <c r="Q547" s="42"/>
      <c r="R547" s="41"/>
      <c r="S547" s="41"/>
      <c r="T547" s="41"/>
    </row>
    <row r="548" spans="5:20">
      <c r="E548" s="39"/>
      <c r="F548" s="41"/>
      <c r="J548" s="41"/>
      <c r="N548" s="42"/>
      <c r="O548" s="42"/>
      <c r="P548" s="42"/>
      <c r="Q548" s="42"/>
      <c r="R548" s="41"/>
      <c r="S548" s="41"/>
      <c r="T548" s="41"/>
    </row>
    <row r="549" spans="5:20">
      <c r="E549" s="39"/>
      <c r="F549" s="41"/>
      <c r="J549" s="41"/>
      <c r="N549" s="42"/>
      <c r="O549" s="42"/>
      <c r="P549" s="42"/>
      <c r="Q549" s="42"/>
      <c r="R549" s="41"/>
      <c r="S549" s="41"/>
      <c r="T549" s="41"/>
    </row>
    <row r="550" spans="5:20">
      <c r="E550" s="39"/>
      <c r="F550" s="41"/>
      <c r="J550" s="41"/>
      <c r="N550" s="42"/>
      <c r="O550" s="42"/>
      <c r="P550" s="42"/>
      <c r="Q550" s="42"/>
      <c r="R550" s="41"/>
      <c r="S550" s="41"/>
      <c r="T550" s="41"/>
    </row>
    <row r="551" spans="5:20">
      <c r="E551" s="39"/>
      <c r="F551" s="41"/>
      <c r="J551" s="41"/>
      <c r="N551" s="42"/>
      <c r="O551" s="42"/>
      <c r="P551" s="42"/>
      <c r="Q551" s="42"/>
      <c r="R551" s="41"/>
      <c r="S551" s="41"/>
      <c r="T551" s="41"/>
    </row>
    <row r="552" spans="5:20">
      <c r="E552" s="39"/>
      <c r="F552" s="41"/>
      <c r="J552" s="41"/>
      <c r="N552" s="42"/>
      <c r="O552" s="42"/>
      <c r="P552" s="42"/>
      <c r="Q552" s="42"/>
      <c r="R552" s="41"/>
      <c r="S552" s="41"/>
      <c r="T552" s="41"/>
    </row>
    <row r="553" spans="5:20">
      <c r="E553" s="39"/>
      <c r="F553" s="41"/>
      <c r="J553" s="41"/>
      <c r="N553" s="42"/>
      <c r="O553" s="42"/>
      <c r="P553" s="42"/>
      <c r="Q553" s="42"/>
      <c r="R553" s="41"/>
      <c r="S553" s="41"/>
      <c r="T553" s="41"/>
    </row>
    <row r="554" spans="5:20">
      <c r="E554" s="39"/>
      <c r="F554" s="41"/>
      <c r="J554" s="41"/>
      <c r="N554" s="42"/>
      <c r="O554" s="42"/>
      <c r="P554" s="42"/>
      <c r="Q554" s="42"/>
      <c r="R554" s="41"/>
      <c r="S554" s="41"/>
      <c r="T554" s="41"/>
    </row>
    <row r="555" spans="5:20">
      <c r="E555" s="39"/>
      <c r="F555" s="41"/>
      <c r="J555" s="41"/>
      <c r="N555" s="42"/>
      <c r="O555" s="42"/>
      <c r="P555" s="42"/>
      <c r="Q555" s="42"/>
      <c r="R555" s="41"/>
      <c r="S555" s="41"/>
      <c r="T555" s="41"/>
    </row>
    <row r="556" spans="5:20">
      <c r="E556" s="39"/>
      <c r="F556" s="41"/>
      <c r="J556" s="41"/>
      <c r="N556" s="42"/>
      <c r="O556" s="42"/>
      <c r="P556" s="42"/>
      <c r="Q556" s="42"/>
      <c r="R556" s="41"/>
      <c r="S556" s="41"/>
      <c r="T556" s="41"/>
    </row>
    <row r="557" spans="5:20">
      <c r="E557" s="39"/>
      <c r="F557" s="41"/>
      <c r="J557" s="41"/>
      <c r="N557" s="42"/>
      <c r="O557" s="42"/>
      <c r="P557" s="42"/>
      <c r="Q557" s="42"/>
      <c r="R557" s="41"/>
      <c r="S557" s="41"/>
      <c r="T557" s="41"/>
    </row>
    <row r="558" spans="5:20">
      <c r="E558" s="39"/>
      <c r="F558" s="41"/>
      <c r="J558" s="41"/>
      <c r="N558" s="42"/>
      <c r="O558" s="42"/>
      <c r="P558" s="42"/>
      <c r="Q558" s="42"/>
      <c r="R558" s="41"/>
      <c r="S558" s="41"/>
      <c r="T558" s="41"/>
    </row>
    <row r="559" spans="5:20">
      <c r="E559" s="39"/>
      <c r="F559" s="41"/>
      <c r="J559" s="41"/>
      <c r="N559" s="42"/>
      <c r="O559" s="42"/>
      <c r="P559" s="42"/>
      <c r="Q559" s="42"/>
      <c r="R559" s="41"/>
      <c r="S559" s="41"/>
      <c r="T559" s="41"/>
    </row>
    <row r="560" spans="5:20">
      <c r="E560" s="39"/>
      <c r="F560" s="41"/>
      <c r="J560" s="41"/>
      <c r="N560" s="42"/>
      <c r="O560" s="42"/>
      <c r="P560" s="42"/>
      <c r="Q560" s="42"/>
      <c r="R560" s="41"/>
      <c r="S560" s="41"/>
      <c r="T560" s="41"/>
    </row>
    <row r="561" spans="5:20">
      <c r="E561" s="39"/>
      <c r="F561" s="41"/>
      <c r="J561" s="41"/>
      <c r="N561" s="42"/>
      <c r="O561" s="42"/>
      <c r="P561" s="42"/>
      <c r="Q561" s="42"/>
      <c r="R561" s="41"/>
      <c r="S561" s="41"/>
      <c r="T561" s="41"/>
    </row>
    <row r="562" spans="5:20">
      <c r="E562" s="39"/>
      <c r="F562" s="41"/>
      <c r="J562" s="41"/>
      <c r="N562" s="42"/>
      <c r="O562" s="42"/>
      <c r="P562" s="42"/>
      <c r="Q562" s="42"/>
      <c r="R562" s="41"/>
      <c r="S562" s="41"/>
      <c r="T562" s="41"/>
    </row>
    <row r="563" spans="5:20">
      <c r="E563" s="39"/>
      <c r="F563" s="41"/>
      <c r="J563" s="41"/>
      <c r="N563" s="42"/>
      <c r="O563" s="42"/>
      <c r="P563" s="42"/>
      <c r="Q563" s="42"/>
      <c r="R563" s="41"/>
      <c r="S563" s="41"/>
      <c r="T563" s="41"/>
    </row>
    <row r="564" spans="5:20">
      <c r="E564" s="39"/>
      <c r="F564" s="41"/>
      <c r="J564" s="41"/>
      <c r="N564" s="42"/>
      <c r="O564" s="42"/>
      <c r="P564" s="42"/>
      <c r="Q564" s="42"/>
      <c r="R564" s="41"/>
      <c r="S564" s="41"/>
      <c r="T564" s="41"/>
    </row>
    <row r="565" spans="5:20">
      <c r="E565" s="39"/>
      <c r="F565" s="41"/>
      <c r="J565" s="41"/>
      <c r="N565" s="42"/>
      <c r="O565" s="42"/>
      <c r="P565" s="42"/>
      <c r="Q565" s="42"/>
      <c r="R565" s="41"/>
      <c r="S565" s="41"/>
      <c r="T565" s="41"/>
    </row>
    <row r="566" spans="5:20">
      <c r="E566" s="39"/>
      <c r="F566" s="41"/>
      <c r="J566" s="41"/>
      <c r="N566" s="42"/>
      <c r="O566" s="42"/>
      <c r="P566" s="42"/>
      <c r="Q566" s="42"/>
      <c r="R566" s="41"/>
      <c r="S566" s="41"/>
      <c r="T566" s="41"/>
    </row>
    <row r="567" spans="5:20">
      <c r="E567" s="39"/>
      <c r="F567" s="41"/>
      <c r="J567" s="41"/>
      <c r="N567" s="42"/>
      <c r="O567" s="42"/>
      <c r="P567" s="42"/>
      <c r="Q567" s="42"/>
      <c r="R567" s="41"/>
      <c r="S567" s="41"/>
      <c r="T567" s="41"/>
    </row>
    <row r="568" spans="5:20">
      <c r="E568" s="39"/>
      <c r="F568" s="41"/>
      <c r="J568" s="41"/>
      <c r="N568" s="42"/>
      <c r="O568" s="42"/>
      <c r="P568" s="42"/>
      <c r="Q568" s="42"/>
      <c r="R568" s="41"/>
      <c r="S568" s="41"/>
      <c r="T568" s="41"/>
    </row>
    <row r="569" spans="5:20">
      <c r="E569" s="39"/>
      <c r="F569" s="41"/>
      <c r="J569" s="41"/>
      <c r="N569" s="42"/>
      <c r="O569" s="42"/>
      <c r="P569" s="42"/>
      <c r="Q569" s="42"/>
      <c r="R569" s="41"/>
      <c r="S569" s="41"/>
      <c r="T569" s="41"/>
    </row>
    <row r="570" spans="5:20">
      <c r="E570" s="39"/>
      <c r="F570" s="41"/>
      <c r="J570" s="41"/>
      <c r="N570" s="42"/>
      <c r="O570" s="42"/>
      <c r="P570" s="42"/>
      <c r="Q570" s="42"/>
      <c r="R570" s="41"/>
      <c r="S570" s="41"/>
      <c r="T570" s="41"/>
    </row>
    <row r="571" spans="5:20">
      <c r="E571" s="39"/>
      <c r="F571" s="41"/>
      <c r="J571" s="41"/>
      <c r="N571" s="42"/>
      <c r="O571" s="42"/>
      <c r="P571" s="42"/>
      <c r="Q571" s="42"/>
      <c r="R571" s="41"/>
      <c r="S571" s="41"/>
      <c r="T571" s="41"/>
    </row>
    <row r="572" spans="5:20">
      <c r="E572" s="39"/>
      <c r="F572" s="41"/>
      <c r="J572" s="41"/>
      <c r="N572" s="42"/>
      <c r="O572" s="42"/>
      <c r="P572" s="42"/>
      <c r="Q572" s="42"/>
      <c r="R572" s="41"/>
      <c r="S572" s="41"/>
      <c r="T572" s="41"/>
    </row>
    <row r="573" spans="5:20">
      <c r="E573" s="39"/>
      <c r="F573" s="41"/>
      <c r="J573" s="41"/>
      <c r="N573" s="42"/>
      <c r="O573" s="42"/>
      <c r="P573" s="42"/>
      <c r="Q573" s="42"/>
      <c r="R573" s="41"/>
      <c r="S573" s="41"/>
      <c r="T573" s="41"/>
    </row>
    <row r="574" spans="5:20">
      <c r="E574" s="39"/>
      <c r="F574" s="41"/>
      <c r="J574" s="41"/>
      <c r="N574" s="42"/>
      <c r="O574" s="42"/>
      <c r="P574" s="42"/>
      <c r="Q574" s="42"/>
      <c r="R574" s="41"/>
      <c r="S574" s="41"/>
      <c r="T574" s="41"/>
    </row>
    <row r="575" spans="5:20">
      <c r="E575" s="39"/>
      <c r="F575" s="41"/>
      <c r="J575" s="41"/>
      <c r="N575" s="42"/>
      <c r="O575" s="42"/>
      <c r="P575" s="42"/>
      <c r="Q575" s="42"/>
      <c r="R575" s="41"/>
      <c r="S575" s="41"/>
      <c r="T575" s="41"/>
    </row>
    <row r="576" spans="5:20">
      <c r="E576" s="39"/>
      <c r="F576" s="41"/>
      <c r="J576" s="41"/>
      <c r="N576" s="42"/>
      <c r="O576" s="42"/>
      <c r="P576" s="42"/>
      <c r="Q576" s="42"/>
      <c r="R576" s="41"/>
      <c r="S576" s="41"/>
      <c r="T576" s="41"/>
    </row>
    <row r="577" spans="5:20">
      <c r="E577" s="39"/>
      <c r="F577" s="41"/>
      <c r="J577" s="41"/>
      <c r="N577" s="42"/>
      <c r="O577" s="42"/>
      <c r="P577" s="42"/>
      <c r="Q577" s="42"/>
      <c r="R577" s="41"/>
      <c r="S577" s="41"/>
      <c r="T577" s="41"/>
    </row>
    <row r="578" spans="5:20">
      <c r="E578" s="39"/>
      <c r="F578" s="41"/>
      <c r="J578" s="41"/>
      <c r="N578" s="42"/>
      <c r="O578" s="42"/>
      <c r="P578" s="42"/>
      <c r="Q578" s="42"/>
      <c r="R578" s="41"/>
      <c r="S578" s="41"/>
      <c r="T578" s="41"/>
    </row>
    <row r="579" spans="5:20">
      <c r="E579" s="39"/>
      <c r="F579" s="41"/>
      <c r="J579" s="41"/>
      <c r="N579" s="42"/>
      <c r="O579" s="42"/>
      <c r="P579" s="42"/>
      <c r="Q579" s="42"/>
      <c r="R579" s="41"/>
      <c r="S579" s="41"/>
      <c r="T579" s="41"/>
    </row>
    <row r="580" spans="5:20">
      <c r="E580" s="39"/>
      <c r="F580" s="41"/>
      <c r="J580" s="41"/>
      <c r="N580" s="42"/>
      <c r="O580" s="42"/>
      <c r="P580" s="42"/>
      <c r="Q580" s="42"/>
      <c r="R580" s="41"/>
      <c r="S580" s="41"/>
      <c r="T580" s="41"/>
    </row>
    <row r="581" spans="5:20">
      <c r="E581" s="39"/>
      <c r="F581" s="41"/>
      <c r="J581" s="41"/>
      <c r="N581" s="42"/>
      <c r="O581" s="42"/>
      <c r="P581" s="42"/>
      <c r="Q581" s="42"/>
      <c r="R581" s="41"/>
      <c r="S581" s="41"/>
      <c r="T581" s="41"/>
    </row>
    <row r="582" spans="5:20">
      <c r="E582" s="39"/>
      <c r="F582" s="41"/>
      <c r="J582" s="41"/>
      <c r="N582" s="42"/>
      <c r="O582" s="42"/>
      <c r="P582" s="42"/>
      <c r="Q582" s="42"/>
      <c r="R582" s="41"/>
      <c r="S582" s="41"/>
      <c r="T582" s="41"/>
    </row>
    <row r="583" spans="5:20">
      <c r="E583" s="39"/>
      <c r="F583" s="41"/>
      <c r="J583" s="41"/>
      <c r="N583" s="42"/>
      <c r="O583" s="42"/>
      <c r="P583" s="42"/>
      <c r="Q583" s="42"/>
      <c r="R583" s="41"/>
      <c r="S583" s="41"/>
      <c r="T583" s="41"/>
    </row>
    <row r="584" spans="5:20">
      <c r="E584" s="39"/>
      <c r="F584" s="41"/>
      <c r="J584" s="41"/>
      <c r="N584" s="42"/>
      <c r="O584" s="42"/>
      <c r="P584" s="42"/>
      <c r="Q584" s="42"/>
      <c r="R584" s="41"/>
      <c r="S584" s="41"/>
      <c r="T584" s="41"/>
    </row>
    <row r="585" spans="5:20">
      <c r="E585" s="39"/>
      <c r="F585" s="41"/>
      <c r="J585" s="41"/>
      <c r="N585" s="42"/>
      <c r="O585" s="42"/>
      <c r="P585" s="42"/>
      <c r="Q585" s="42"/>
      <c r="R585" s="41"/>
      <c r="S585" s="41"/>
      <c r="T585" s="41"/>
    </row>
    <row r="586" spans="5:20">
      <c r="E586" s="39"/>
      <c r="F586" s="41"/>
      <c r="J586" s="41"/>
      <c r="N586" s="42"/>
      <c r="O586" s="42"/>
      <c r="P586" s="42"/>
      <c r="Q586" s="42"/>
      <c r="R586" s="41"/>
      <c r="S586" s="41"/>
      <c r="T586" s="41"/>
    </row>
    <row r="587" spans="5:20">
      <c r="E587" s="39"/>
      <c r="F587" s="41"/>
      <c r="J587" s="41"/>
      <c r="N587" s="42"/>
      <c r="O587" s="42"/>
      <c r="P587" s="42"/>
      <c r="Q587" s="42"/>
      <c r="R587" s="41"/>
      <c r="S587" s="41"/>
      <c r="T587" s="41"/>
    </row>
    <row r="588" spans="5:20">
      <c r="E588" s="39"/>
      <c r="F588" s="41"/>
      <c r="J588" s="41"/>
      <c r="N588" s="42"/>
      <c r="O588" s="42"/>
      <c r="P588" s="42"/>
      <c r="Q588" s="42"/>
      <c r="R588" s="41"/>
      <c r="S588" s="41"/>
      <c r="T588" s="41"/>
    </row>
    <row r="589" spans="5:20">
      <c r="E589" s="39"/>
      <c r="F589" s="41"/>
      <c r="J589" s="41"/>
      <c r="N589" s="42"/>
      <c r="O589" s="42"/>
      <c r="P589" s="42"/>
      <c r="Q589" s="42"/>
      <c r="R589" s="41"/>
      <c r="S589" s="41"/>
      <c r="T589" s="41"/>
    </row>
    <row r="590" spans="5:20">
      <c r="E590" s="39"/>
      <c r="F590" s="41"/>
      <c r="J590" s="41"/>
      <c r="N590" s="42"/>
      <c r="O590" s="42"/>
      <c r="P590" s="42"/>
      <c r="Q590" s="42"/>
      <c r="R590" s="41"/>
      <c r="S590" s="41"/>
      <c r="T590" s="41"/>
    </row>
    <row r="591" spans="5:20">
      <c r="E591" s="39"/>
      <c r="F591" s="41"/>
      <c r="J591" s="41"/>
      <c r="N591" s="42"/>
      <c r="O591" s="42"/>
      <c r="P591" s="42"/>
      <c r="Q591" s="42"/>
      <c r="R591" s="41"/>
      <c r="S591" s="41"/>
      <c r="T591" s="41"/>
    </row>
    <row r="592" spans="5:20">
      <c r="E592" s="39"/>
      <c r="F592" s="41"/>
      <c r="J592" s="41"/>
      <c r="N592" s="42"/>
      <c r="O592" s="42"/>
      <c r="P592" s="42"/>
      <c r="Q592" s="42"/>
      <c r="R592" s="41"/>
      <c r="S592" s="41"/>
      <c r="T592" s="41"/>
    </row>
    <row r="593" spans="5:20">
      <c r="E593" s="39"/>
      <c r="F593" s="41"/>
      <c r="J593" s="41"/>
      <c r="N593" s="42"/>
      <c r="O593" s="42"/>
      <c r="P593" s="42"/>
      <c r="Q593" s="42"/>
      <c r="R593" s="41"/>
      <c r="S593" s="41"/>
      <c r="T593" s="41"/>
    </row>
    <row r="594" spans="5:20">
      <c r="E594" s="39"/>
      <c r="F594" s="41"/>
      <c r="J594" s="41"/>
      <c r="N594" s="42"/>
      <c r="O594" s="42"/>
      <c r="P594" s="42"/>
      <c r="Q594" s="42"/>
      <c r="R594" s="41"/>
      <c r="S594" s="41"/>
      <c r="T594" s="41"/>
    </row>
    <row r="595" spans="5:20">
      <c r="E595" s="39"/>
      <c r="F595" s="41"/>
      <c r="J595" s="41"/>
      <c r="N595" s="42"/>
      <c r="O595" s="42"/>
      <c r="P595" s="42"/>
      <c r="Q595" s="42"/>
      <c r="R595" s="41"/>
      <c r="S595" s="41"/>
      <c r="T595" s="41"/>
    </row>
    <row r="596" spans="5:20">
      <c r="E596" s="39"/>
      <c r="F596" s="41"/>
      <c r="J596" s="41"/>
      <c r="N596" s="42"/>
      <c r="O596" s="42"/>
      <c r="P596" s="42"/>
      <c r="Q596" s="42"/>
      <c r="R596" s="41"/>
      <c r="S596" s="41"/>
      <c r="T596" s="41"/>
    </row>
    <row r="597" spans="5:20">
      <c r="E597" s="39"/>
      <c r="F597" s="41"/>
      <c r="J597" s="41"/>
      <c r="N597" s="42"/>
      <c r="O597" s="42"/>
      <c r="P597" s="42"/>
      <c r="Q597" s="42"/>
      <c r="R597" s="41"/>
      <c r="S597" s="41"/>
      <c r="T597" s="41"/>
    </row>
    <row r="598" spans="5:20">
      <c r="E598" s="39"/>
      <c r="F598" s="41"/>
      <c r="J598" s="41"/>
      <c r="N598" s="42"/>
      <c r="O598" s="42"/>
      <c r="P598" s="42"/>
      <c r="Q598" s="42"/>
      <c r="R598" s="41"/>
      <c r="S598" s="41"/>
      <c r="T598" s="41"/>
    </row>
    <row r="599" spans="5:20">
      <c r="E599" s="39"/>
      <c r="F599" s="41"/>
      <c r="J599" s="41"/>
      <c r="N599" s="42"/>
      <c r="O599" s="42"/>
      <c r="P599" s="42"/>
      <c r="Q599" s="42"/>
      <c r="R599" s="41"/>
      <c r="S599" s="41"/>
      <c r="T599" s="41"/>
    </row>
    <row r="600" spans="5:20">
      <c r="E600" s="39"/>
      <c r="F600" s="41"/>
      <c r="J600" s="41"/>
      <c r="N600" s="42"/>
      <c r="O600" s="42"/>
      <c r="P600" s="42"/>
      <c r="Q600" s="42"/>
      <c r="R600" s="41"/>
      <c r="S600" s="41"/>
      <c r="T600" s="41"/>
    </row>
    <row r="601" spans="5:20">
      <c r="E601" s="39"/>
      <c r="F601" s="41"/>
      <c r="J601" s="41"/>
      <c r="N601" s="42"/>
      <c r="O601" s="42"/>
      <c r="P601" s="42"/>
      <c r="Q601" s="42"/>
      <c r="R601" s="41"/>
      <c r="S601" s="41"/>
      <c r="T601" s="41"/>
    </row>
    <row r="602" spans="5:20">
      <c r="E602" s="39"/>
      <c r="F602" s="41"/>
      <c r="J602" s="41"/>
      <c r="N602" s="42"/>
      <c r="O602" s="42"/>
      <c r="P602" s="42"/>
      <c r="Q602" s="42"/>
      <c r="R602" s="41"/>
      <c r="S602" s="41"/>
      <c r="T602" s="41"/>
    </row>
    <row r="603" spans="5:20">
      <c r="E603" s="39"/>
      <c r="F603" s="41"/>
      <c r="J603" s="41"/>
      <c r="N603" s="42"/>
      <c r="O603" s="42"/>
      <c r="P603" s="42"/>
      <c r="Q603" s="42"/>
      <c r="R603" s="41"/>
      <c r="S603" s="41"/>
      <c r="T603" s="41"/>
    </row>
    <row r="604" spans="5:20">
      <c r="E604" s="39"/>
      <c r="F604" s="41"/>
      <c r="J604" s="41"/>
      <c r="N604" s="42"/>
      <c r="O604" s="42"/>
      <c r="P604" s="42"/>
      <c r="Q604" s="42"/>
      <c r="R604" s="41"/>
      <c r="S604" s="41"/>
      <c r="T604" s="41"/>
    </row>
    <row r="605" spans="5:20">
      <c r="E605" s="39"/>
      <c r="F605" s="41"/>
      <c r="J605" s="41"/>
      <c r="N605" s="42"/>
      <c r="O605" s="42"/>
      <c r="P605" s="42"/>
      <c r="Q605" s="42"/>
      <c r="R605" s="41"/>
      <c r="S605" s="41"/>
      <c r="T605" s="41"/>
    </row>
    <row r="606" spans="5:20">
      <c r="E606" s="39"/>
      <c r="F606" s="41"/>
      <c r="J606" s="41"/>
      <c r="N606" s="42"/>
      <c r="O606" s="42"/>
      <c r="P606" s="42"/>
      <c r="Q606" s="42"/>
      <c r="R606" s="41"/>
      <c r="S606" s="41"/>
      <c r="T606" s="41"/>
    </row>
    <row r="607" spans="5:20">
      <c r="E607" s="39"/>
      <c r="F607" s="41"/>
      <c r="J607" s="41"/>
      <c r="N607" s="42"/>
      <c r="O607" s="42"/>
      <c r="P607" s="42"/>
      <c r="Q607" s="42"/>
      <c r="R607" s="41"/>
      <c r="S607" s="41"/>
      <c r="T607" s="41"/>
    </row>
    <row r="608" spans="5:20">
      <c r="E608" s="39"/>
      <c r="F608" s="41"/>
      <c r="J608" s="41"/>
      <c r="N608" s="42"/>
      <c r="O608" s="42"/>
      <c r="P608" s="42"/>
      <c r="Q608" s="42"/>
      <c r="R608" s="41"/>
      <c r="S608" s="41"/>
      <c r="T608" s="41"/>
    </row>
    <row r="609" spans="5:20">
      <c r="E609" s="39"/>
      <c r="F609" s="41"/>
      <c r="J609" s="41"/>
      <c r="N609" s="42"/>
      <c r="O609" s="42"/>
      <c r="P609" s="42"/>
      <c r="Q609" s="42"/>
      <c r="R609" s="41"/>
      <c r="S609" s="41"/>
      <c r="T609" s="41"/>
    </row>
    <row r="610" spans="5:20">
      <c r="E610" s="39"/>
      <c r="F610" s="41"/>
      <c r="J610" s="41"/>
      <c r="N610" s="42"/>
      <c r="O610" s="42"/>
      <c r="P610" s="42"/>
      <c r="Q610" s="42"/>
      <c r="R610" s="41"/>
      <c r="S610" s="41"/>
      <c r="T610" s="41"/>
    </row>
    <row r="611" spans="5:20">
      <c r="E611" s="39"/>
      <c r="F611" s="41"/>
      <c r="J611" s="41"/>
      <c r="N611" s="42"/>
      <c r="O611" s="42"/>
      <c r="P611" s="42"/>
      <c r="Q611" s="42"/>
      <c r="R611" s="41"/>
      <c r="S611" s="41"/>
      <c r="T611" s="41"/>
    </row>
    <row r="612" spans="5:20">
      <c r="E612" s="39"/>
      <c r="F612" s="41"/>
      <c r="J612" s="41"/>
      <c r="N612" s="42"/>
      <c r="O612" s="42"/>
      <c r="P612" s="42"/>
      <c r="Q612" s="42"/>
      <c r="R612" s="41"/>
      <c r="S612" s="41"/>
      <c r="T612" s="41"/>
    </row>
    <row r="613" spans="5:20">
      <c r="E613" s="39"/>
      <c r="F613" s="41"/>
      <c r="J613" s="41"/>
      <c r="N613" s="42"/>
      <c r="O613" s="42"/>
      <c r="P613" s="42"/>
      <c r="Q613" s="42"/>
      <c r="R613" s="41"/>
      <c r="S613" s="41"/>
      <c r="T613" s="41"/>
    </row>
    <row r="614" spans="5:20">
      <c r="E614" s="39"/>
      <c r="F614" s="41"/>
      <c r="J614" s="41"/>
      <c r="N614" s="42"/>
      <c r="O614" s="42"/>
      <c r="P614" s="42"/>
      <c r="Q614" s="42"/>
      <c r="R614" s="41"/>
      <c r="S614" s="41"/>
      <c r="T614" s="41"/>
    </row>
    <row r="615" spans="5:20">
      <c r="E615" s="39"/>
      <c r="F615" s="41"/>
      <c r="J615" s="41"/>
      <c r="N615" s="42"/>
      <c r="O615" s="42"/>
      <c r="P615" s="42"/>
      <c r="Q615" s="42"/>
      <c r="R615" s="41"/>
      <c r="S615" s="41"/>
      <c r="T615" s="41"/>
    </row>
    <row r="616" spans="5:20">
      <c r="E616" s="39"/>
      <c r="F616" s="41"/>
      <c r="J616" s="41"/>
      <c r="N616" s="42"/>
      <c r="O616" s="42"/>
      <c r="P616" s="42"/>
      <c r="Q616" s="42"/>
      <c r="R616" s="41"/>
      <c r="S616" s="41"/>
      <c r="T616" s="41"/>
    </row>
    <row r="617" spans="5:20">
      <c r="E617" s="39"/>
      <c r="F617" s="41"/>
      <c r="J617" s="41"/>
      <c r="N617" s="42"/>
      <c r="O617" s="42"/>
      <c r="P617" s="42"/>
      <c r="Q617" s="42"/>
      <c r="R617" s="41"/>
      <c r="S617" s="41"/>
      <c r="T617" s="41"/>
    </row>
    <row r="618" spans="5:20">
      <c r="E618" s="39"/>
      <c r="F618" s="41"/>
      <c r="J618" s="41"/>
      <c r="N618" s="42"/>
      <c r="O618" s="42"/>
      <c r="P618" s="42"/>
      <c r="Q618" s="42"/>
      <c r="R618" s="41"/>
      <c r="S618" s="41"/>
      <c r="T618" s="41"/>
    </row>
    <row r="619" spans="5:20">
      <c r="E619" s="39"/>
      <c r="F619" s="41"/>
      <c r="J619" s="41"/>
      <c r="N619" s="42"/>
      <c r="O619" s="42"/>
      <c r="P619" s="42"/>
      <c r="Q619" s="42"/>
      <c r="R619" s="41"/>
      <c r="S619" s="41"/>
      <c r="T619" s="41"/>
    </row>
    <row r="620" spans="5:20">
      <c r="E620" s="39"/>
      <c r="F620" s="41"/>
      <c r="J620" s="41"/>
      <c r="N620" s="42"/>
      <c r="O620" s="42"/>
      <c r="P620" s="42"/>
      <c r="Q620" s="42"/>
      <c r="R620" s="41"/>
      <c r="S620" s="41"/>
      <c r="T620" s="41"/>
    </row>
    <row r="621" spans="5:20">
      <c r="E621" s="39"/>
      <c r="F621" s="41"/>
      <c r="J621" s="41"/>
      <c r="N621" s="42"/>
      <c r="O621" s="42"/>
      <c r="P621" s="42"/>
      <c r="Q621" s="42"/>
      <c r="R621" s="41"/>
      <c r="S621" s="41"/>
      <c r="T621" s="41"/>
    </row>
    <row r="622" spans="5:20">
      <c r="E622" s="39"/>
      <c r="F622" s="41"/>
      <c r="J622" s="41"/>
      <c r="N622" s="42"/>
      <c r="O622" s="42"/>
      <c r="P622" s="42"/>
      <c r="Q622" s="42"/>
      <c r="R622" s="41"/>
      <c r="S622" s="41"/>
      <c r="T622" s="41"/>
    </row>
    <row r="623" spans="5:20">
      <c r="E623" s="39"/>
      <c r="F623" s="41"/>
      <c r="J623" s="41"/>
      <c r="N623" s="42"/>
      <c r="O623" s="42"/>
      <c r="P623" s="42"/>
      <c r="Q623" s="42"/>
      <c r="R623" s="41"/>
      <c r="S623" s="41"/>
      <c r="T623" s="41"/>
    </row>
    <row r="624" spans="5:20">
      <c r="E624" s="39"/>
      <c r="F624" s="41"/>
      <c r="J624" s="41"/>
      <c r="N624" s="42"/>
      <c r="O624" s="42"/>
      <c r="P624" s="42"/>
      <c r="Q624" s="42"/>
      <c r="R624" s="41"/>
      <c r="S624" s="41"/>
      <c r="T624" s="41"/>
    </row>
    <row r="625" spans="5:20">
      <c r="E625" s="39"/>
      <c r="F625" s="41"/>
      <c r="J625" s="41"/>
      <c r="N625" s="42"/>
      <c r="O625" s="42"/>
      <c r="P625" s="42"/>
      <c r="Q625" s="42"/>
      <c r="R625" s="41"/>
      <c r="S625" s="41"/>
      <c r="T625" s="41"/>
    </row>
    <row r="626" spans="5:20">
      <c r="E626" s="39"/>
      <c r="F626" s="41"/>
      <c r="J626" s="41"/>
      <c r="N626" s="42"/>
      <c r="O626" s="42"/>
      <c r="P626" s="42"/>
      <c r="Q626" s="42"/>
      <c r="R626" s="41"/>
      <c r="S626" s="41"/>
      <c r="T626" s="41"/>
    </row>
    <row r="627" spans="5:20">
      <c r="E627" s="39"/>
      <c r="F627" s="41"/>
      <c r="J627" s="41"/>
      <c r="N627" s="42"/>
      <c r="O627" s="42"/>
      <c r="P627" s="42"/>
      <c r="Q627" s="42"/>
      <c r="R627" s="41"/>
      <c r="S627" s="41"/>
      <c r="T627" s="41"/>
    </row>
    <row r="628" spans="5:20">
      <c r="E628" s="39"/>
      <c r="F628" s="41"/>
      <c r="J628" s="41"/>
      <c r="N628" s="42"/>
      <c r="O628" s="42"/>
      <c r="P628" s="42"/>
      <c r="Q628" s="42"/>
      <c r="R628" s="41"/>
      <c r="S628" s="41"/>
      <c r="T628" s="41"/>
    </row>
    <row r="629" spans="5:20">
      <c r="E629" s="39"/>
      <c r="F629" s="41"/>
      <c r="J629" s="41"/>
      <c r="N629" s="42"/>
      <c r="O629" s="42"/>
      <c r="P629" s="42"/>
      <c r="Q629" s="42"/>
      <c r="R629" s="41"/>
      <c r="S629" s="41"/>
      <c r="T629" s="41"/>
    </row>
    <row r="630" spans="5:20">
      <c r="E630" s="39"/>
      <c r="F630" s="41"/>
      <c r="J630" s="41"/>
      <c r="N630" s="42"/>
      <c r="O630" s="42"/>
      <c r="P630" s="42"/>
      <c r="Q630" s="42"/>
      <c r="R630" s="41"/>
      <c r="S630" s="41"/>
      <c r="T630" s="41"/>
    </row>
    <row r="631" spans="5:20">
      <c r="E631" s="39"/>
      <c r="F631" s="41"/>
      <c r="J631" s="41"/>
      <c r="N631" s="42"/>
      <c r="O631" s="42"/>
      <c r="P631" s="42"/>
      <c r="Q631" s="42"/>
      <c r="R631" s="41"/>
      <c r="S631" s="41"/>
      <c r="T631" s="41"/>
    </row>
    <row r="632" spans="5:20">
      <c r="E632" s="39"/>
      <c r="F632" s="41"/>
      <c r="J632" s="41"/>
      <c r="N632" s="42"/>
      <c r="O632" s="42"/>
      <c r="P632" s="42"/>
      <c r="Q632" s="42"/>
      <c r="R632" s="41"/>
      <c r="S632" s="41"/>
      <c r="T632" s="41"/>
    </row>
    <row r="633" spans="5:20">
      <c r="E633" s="39"/>
      <c r="F633" s="41"/>
      <c r="J633" s="41"/>
      <c r="N633" s="42"/>
      <c r="O633" s="42"/>
      <c r="P633" s="42"/>
      <c r="Q633" s="42"/>
      <c r="R633" s="41"/>
      <c r="S633" s="41"/>
      <c r="T633" s="41"/>
    </row>
    <row r="634" spans="5:20">
      <c r="E634" s="39"/>
      <c r="F634" s="41"/>
      <c r="J634" s="41"/>
      <c r="N634" s="42"/>
      <c r="O634" s="42"/>
      <c r="P634" s="42"/>
      <c r="Q634" s="42"/>
      <c r="R634" s="41"/>
      <c r="S634" s="41"/>
      <c r="T634" s="41"/>
    </row>
    <row r="635" spans="5:20">
      <c r="E635" s="39"/>
      <c r="F635" s="41"/>
      <c r="J635" s="41"/>
      <c r="N635" s="42"/>
      <c r="O635" s="42"/>
      <c r="P635" s="42"/>
      <c r="Q635" s="42"/>
      <c r="R635" s="41"/>
      <c r="S635" s="41"/>
      <c r="T635" s="41"/>
    </row>
    <row r="636" spans="5:20">
      <c r="E636" s="39"/>
      <c r="F636" s="41"/>
      <c r="J636" s="41"/>
      <c r="N636" s="42"/>
      <c r="O636" s="42"/>
      <c r="P636" s="42"/>
      <c r="Q636" s="42"/>
      <c r="R636" s="41"/>
      <c r="S636" s="41"/>
      <c r="T636" s="41"/>
    </row>
    <row r="637" spans="5:20">
      <c r="E637" s="39"/>
      <c r="F637" s="41"/>
      <c r="J637" s="41"/>
      <c r="N637" s="42"/>
      <c r="O637" s="42"/>
      <c r="P637" s="42"/>
      <c r="Q637" s="42"/>
      <c r="R637" s="41"/>
      <c r="S637" s="41"/>
      <c r="T637" s="41"/>
    </row>
    <row r="638" spans="5:20">
      <c r="E638" s="39"/>
      <c r="F638" s="41"/>
      <c r="J638" s="41"/>
      <c r="N638" s="42"/>
      <c r="O638" s="42"/>
      <c r="P638" s="42"/>
      <c r="Q638" s="42"/>
      <c r="R638" s="41"/>
      <c r="S638" s="41"/>
      <c r="T638" s="41"/>
    </row>
    <row r="639" spans="5:20">
      <c r="E639" s="39"/>
      <c r="F639" s="41"/>
      <c r="J639" s="41"/>
      <c r="N639" s="42"/>
      <c r="O639" s="42"/>
      <c r="P639" s="42"/>
      <c r="Q639" s="42"/>
      <c r="R639" s="41"/>
      <c r="S639" s="41"/>
      <c r="T639" s="41"/>
    </row>
    <row r="640" spans="5:20">
      <c r="E640" s="39"/>
      <c r="F640" s="41"/>
      <c r="J640" s="41"/>
      <c r="N640" s="42"/>
      <c r="O640" s="42"/>
      <c r="P640" s="42"/>
      <c r="Q640" s="42"/>
      <c r="R640" s="41"/>
      <c r="S640" s="41"/>
      <c r="T640" s="41"/>
    </row>
    <row r="641" spans="5:20">
      <c r="E641" s="39"/>
      <c r="F641" s="41"/>
      <c r="J641" s="41"/>
      <c r="N641" s="42"/>
      <c r="O641" s="42"/>
      <c r="P641" s="42"/>
      <c r="Q641" s="42"/>
      <c r="R641" s="41"/>
      <c r="S641" s="41"/>
      <c r="T641" s="41"/>
    </row>
    <row r="642" spans="5:20">
      <c r="E642" s="39"/>
      <c r="F642" s="41"/>
      <c r="J642" s="41"/>
      <c r="N642" s="42"/>
      <c r="O642" s="42"/>
      <c r="P642" s="42"/>
      <c r="Q642" s="42"/>
      <c r="R642" s="41"/>
      <c r="S642" s="41"/>
      <c r="T642" s="41"/>
    </row>
    <row r="643" spans="5:20">
      <c r="E643" s="39"/>
      <c r="F643" s="41"/>
      <c r="J643" s="41"/>
      <c r="N643" s="42"/>
      <c r="O643" s="42"/>
      <c r="P643" s="42"/>
      <c r="Q643" s="42"/>
      <c r="R643" s="41"/>
      <c r="S643" s="41"/>
      <c r="T643" s="41"/>
    </row>
    <row r="644" spans="5:20">
      <c r="E644" s="39"/>
      <c r="F644" s="41"/>
      <c r="J644" s="41"/>
      <c r="N644" s="42"/>
      <c r="O644" s="42"/>
      <c r="P644" s="42"/>
      <c r="Q644" s="42"/>
      <c r="R644" s="41"/>
      <c r="S644" s="41"/>
      <c r="T644" s="41"/>
    </row>
    <row r="645" spans="5:20">
      <c r="E645" s="39"/>
      <c r="F645" s="41"/>
      <c r="J645" s="41"/>
      <c r="N645" s="42"/>
      <c r="O645" s="42"/>
      <c r="P645" s="42"/>
      <c r="Q645" s="42"/>
      <c r="R645" s="41"/>
      <c r="S645" s="41"/>
      <c r="T645" s="41"/>
    </row>
    <row r="646" spans="5:20">
      <c r="E646" s="39"/>
      <c r="F646" s="41"/>
      <c r="J646" s="41"/>
      <c r="N646" s="42"/>
      <c r="O646" s="42"/>
      <c r="P646" s="42"/>
      <c r="Q646" s="42"/>
      <c r="R646" s="41"/>
      <c r="S646" s="41"/>
      <c r="T646" s="41"/>
    </row>
    <row r="647" spans="5:20">
      <c r="E647" s="39"/>
      <c r="F647" s="41"/>
      <c r="J647" s="41"/>
      <c r="N647" s="42"/>
      <c r="O647" s="42"/>
      <c r="P647" s="42"/>
      <c r="Q647" s="42"/>
      <c r="R647" s="41"/>
      <c r="S647" s="41"/>
      <c r="T647" s="41"/>
    </row>
    <row r="648" spans="5:20">
      <c r="E648" s="39"/>
      <c r="F648" s="41"/>
      <c r="J648" s="41"/>
      <c r="N648" s="42"/>
      <c r="O648" s="42"/>
      <c r="P648" s="42"/>
      <c r="Q648" s="42"/>
      <c r="R648" s="41"/>
      <c r="S648" s="41"/>
      <c r="T648" s="41"/>
    </row>
    <row r="649" spans="5:20">
      <c r="E649" s="39"/>
      <c r="F649" s="41"/>
      <c r="J649" s="41"/>
      <c r="N649" s="42"/>
      <c r="O649" s="42"/>
      <c r="P649" s="42"/>
      <c r="Q649" s="42"/>
      <c r="R649" s="41"/>
      <c r="S649" s="41"/>
      <c r="T649" s="41"/>
    </row>
    <row r="650" spans="5:20">
      <c r="E650" s="39"/>
      <c r="F650" s="41"/>
      <c r="J650" s="41"/>
      <c r="N650" s="42"/>
      <c r="O650" s="42"/>
      <c r="P650" s="42"/>
      <c r="Q650" s="42"/>
      <c r="R650" s="41"/>
      <c r="S650" s="41"/>
      <c r="T650" s="41"/>
    </row>
    <row r="651" spans="5:20">
      <c r="E651" s="39"/>
      <c r="F651" s="41"/>
      <c r="J651" s="41"/>
      <c r="N651" s="42"/>
      <c r="O651" s="42"/>
      <c r="P651" s="42"/>
      <c r="Q651" s="42"/>
      <c r="R651" s="41"/>
      <c r="S651" s="41"/>
      <c r="T651" s="41"/>
    </row>
    <row r="652" spans="5:20">
      <c r="E652" s="39"/>
      <c r="F652" s="41"/>
      <c r="J652" s="41"/>
      <c r="N652" s="42"/>
      <c r="O652" s="42"/>
      <c r="P652" s="42"/>
      <c r="Q652" s="42"/>
      <c r="R652" s="41"/>
      <c r="S652" s="41"/>
      <c r="T652" s="41"/>
    </row>
    <row r="653" spans="5:20">
      <c r="E653" s="39"/>
      <c r="F653" s="41"/>
      <c r="J653" s="41"/>
      <c r="N653" s="42"/>
      <c r="O653" s="42"/>
      <c r="P653" s="42"/>
      <c r="Q653" s="42"/>
      <c r="R653" s="41"/>
      <c r="S653" s="41"/>
      <c r="T653" s="41"/>
    </row>
    <row r="654" spans="5:20">
      <c r="E654" s="39"/>
      <c r="F654" s="41"/>
      <c r="J654" s="41"/>
      <c r="N654" s="42"/>
      <c r="O654" s="42"/>
      <c r="P654" s="42"/>
      <c r="Q654" s="42"/>
      <c r="R654" s="41"/>
      <c r="S654" s="41"/>
      <c r="T654" s="41"/>
    </row>
    <row r="655" spans="5:20">
      <c r="E655" s="39"/>
      <c r="F655" s="41"/>
      <c r="J655" s="41"/>
      <c r="N655" s="42"/>
      <c r="O655" s="42"/>
      <c r="P655" s="42"/>
      <c r="Q655" s="42"/>
      <c r="R655" s="41"/>
      <c r="S655" s="41"/>
      <c r="T655" s="41"/>
    </row>
    <row r="656" spans="5:20">
      <c r="E656" s="39"/>
      <c r="F656" s="41"/>
      <c r="J656" s="41"/>
      <c r="N656" s="42"/>
      <c r="O656" s="42"/>
      <c r="P656" s="42"/>
      <c r="Q656" s="42"/>
      <c r="R656" s="41"/>
      <c r="S656" s="41"/>
      <c r="T656" s="41"/>
    </row>
    <row r="657" spans="5:20">
      <c r="E657" s="39"/>
      <c r="F657" s="41"/>
      <c r="J657" s="41"/>
      <c r="N657" s="42"/>
      <c r="O657" s="42"/>
      <c r="P657" s="42"/>
      <c r="Q657" s="42"/>
      <c r="R657" s="41"/>
      <c r="S657" s="41"/>
      <c r="T657" s="41"/>
    </row>
    <row r="658" spans="5:20">
      <c r="E658" s="39"/>
      <c r="F658" s="41"/>
      <c r="J658" s="41"/>
      <c r="N658" s="42"/>
      <c r="O658" s="42"/>
      <c r="P658" s="42"/>
      <c r="Q658" s="42"/>
      <c r="R658" s="41"/>
      <c r="S658" s="41"/>
      <c r="T658" s="41"/>
    </row>
    <row r="659" spans="5:20">
      <c r="E659" s="39"/>
      <c r="F659" s="41"/>
      <c r="J659" s="41"/>
      <c r="N659" s="42"/>
      <c r="O659" s="42"/>
      <c r="P659" s="42"/>
      <c r="Q659" s="42"/>
      <c r="R659" s="41"/>
      <c r="S659" s="41"/>
      <c r="T659" s="41"/>
    </row>
    <row r="660" spans="5:20">
      <c r="E660" s="39"/>
      <c r="F660" s="41"/>
      <c r="J660" s="41"/>
      <c r="N660" s="42"/>
      <c r="O660" s="42"/>
      <c r="P660" s="42"/>
      <c r="Q660" s="42"/>
      <c r="R660" s="41"/>
      <c r="S660" s="41"/>
      <c r="T660" s="41"/>
    </row>
    <row r="661" spans="5:20">
      <c r="E661" s="39"/>
      <c r="F661" s="41"/>
      <c r="J661" s="41"/>
      <c r="N661" s="42"/>
      <c r="O661" s="42"/>
      <c r="P661" s="42"/>
      <c r="Q661" s="42"/>
      <c r="R661" s="41"/>
      <c r="S661" s="41"/>
      <c r="T661" s="41"/>
    </row>
    <row r="662" spans="5:20">
      <c r="E662" s="39"/>
      <c r="F662" s="41"/>
      <c r="J662" s="41"/>
      <c r="N662" s="42"/>
      <c r="O662" s="42"/>
      <c r="P662" s="42"/>
      <c r="Q662" s="42"/>
      <c r="R662" s="41"/>
      <c r="S662" s="41"/>
      <c r="T662" s="41"/>
    </row>
    <row r="663" spans="5:20">
      <c r="E663" s="39"/>
      <c r="F663" s="41"/>
      <c r="J663" s="41"/>
      <c r="N663" s="42"/>
      <c r="O663" s="42"/>
      <c r="P663" s="42"/>
      <c r="Q663" s="42"/>
      <c r="R663" s="41"/>
      <c r="S663" s="41"/>
      <c r="T663" s="41"/>
    </row>
    <row r="664" spans="5:20">
      <c r="E664" s="39"/>
      <c r="F664" s="41"/>
      <c r="J664" s="41"/>
      <c r="N664" s="42"/>
      <c r="O664" s="42"/>
      <c r="P664" s="42"/>
      <c r="Q664" s="42"/>
      <c r="R664" s="41"/>
      <c r="S664" s="41"/>
      <c r="T664" s="41"/>
    </row>
    <row r="665" spans="5:20">
      <c r="E665" s="39"/>
      <c r="F665" s="41"/>
      <c r="J665" s="41"/>
      <c r="N665" s="42"/>
      <c r="O665" s="42"/>
      <c r="P665" s="42"/>
      <c r="Q665" s="42"/>
      <c r="R665" s="41"/>
      <c r="S665" s="41"/>
      <c r="T665" s="41"/>
    </row>
    <row r="666" spans="5:20">
      <c r="E666" s="39"/>
      <c r="F666" s="41"/>
      <c r="J666" s="41"/>
      <c r="N666" s="42"/>
      <c r="O666" s="42"/>
      <c r="P666" s="42"/>
      <c r="Q666" s="42"/>
      <c r="R666" s="41"/>
      <c r="S666" s="41"/>
      <c r="T666" s="41"/>
    </row>
    <row r="667" spans="5:20">
      <c r="E667" s="39"/>
      <c r="F667" s="41"/>
      <c r="J667" s="41"/>
      <c r="N667" s="42"/>
      <c r="O667" s="42"/>
      <c r="P667" s="42"/>
      <c r="Q667" s="42"/>
      <c r="R667" s="41"/>
      <c r="S667" s="41"/>
      <c r="T667" s="41"/>
    </row>
    <row r="668" spans="5:20">
      <c r="E668" s="39"/>
      <c r="F668" s="41"/>
      <c r="J668" s="41"/>
      <c r="N668" s="42"/>
      <c r="O668" s="42"/>
      <c r="P668" s="42"/>
      <c r="Q668" s="42"/>
      <c r="R668" s="41"/>
      <c r="S668" s="41"/>
      <c r="T668" s="41"/>
    </row>
    <row r="669" spans="5:20">
      <c r="E669" s="39"/>
      <c r="F669" s="41"/>
      <c r="J669" s="41"/>
      <c r="N669" s="42"/>
      <c r="O669" s="42"/>
      <c r="P669" s="42"/>
      <c r="Q669" s="42"/>
      <c r="R669" s="41"/>
      <c r="S669" s="41"/>
      <c r="T669" s="41"/>
    </row>
    <row r="670" spans="5:20">
      <c r="E670" s="39"/>
      <c r="F670" s="41"/>
      <c r="J670" s="41"/>
      <c r="N670" s="42"/>
      <c r="O670" s="42"/>
      <c r="P670" s="42"/>
      <c r="Q670" s="42"/>
      <c r="R670" s="41"/>
      <c r="S670" s="41"/>
      <c r="T670" s="41"/>
    </row>
    <row r="671" spans="5:20">
      <c r="E671" s="39"/>
      <c r="F671" s="41"/>
      <c r="J671" s="41"/>
      <c r="N671" s="42"/>
      <c r="O671" s="42"/>
      <c r="P671" s="42"/>
      <c r="Q671" s="42"/>
      <c r="R671" s="41"/>
      <c r="S671" s="41"/>
      <c r="T671" s="41"/>
    </row>
    <row r="672" spans="5:20">
      <c r="E672" s="39"/>
      <c r="F672" s="41"/>
      <c r="J672" s="41"/>
      <c r="N672" s="42"/>
      <c r="O672" s="42"/>
      <c r="P672" s="42"/>
      <c r="Q672" s="42"/>
      <c r="R672" s="41"/>
      <c r="S672" s="41"/>
      <c r="T672" s="41"/>
    </row>
    <row r="673" spans="5:20">
      <c r="E673" s="39"/>
      <c r="F673" s="41"/>
      <c r="J673" s="41"/>
      <c r="N673" s="42"/>
      <c r="O673" s="42"/>
      <c r="P673" s="42"/>
      <c r="Q673" s="42"/>
      <c r="R673" s="41"/>
      <c r="S673" s="41"/>
      <c r="T673" s="41"/>
    </row>
    <row r="674" spans="5:20">
      <c r="E674" s="39"/>
      <c r="F674" s="41"/>
      <c r="J674" s="41"/>
      <c r="N674" s="42"/>
      <c r="O674" s="42"/>
      <c r="P674" s="42"/>
      <c r="Q674" s="42"/>
      <c r="R674" s="41"/>
      <c r="S674" s="41"/>
      <c r="T674" s="41"/>
    </row>
    <row r="675" spans="5:20">
      <c r="E675" s="39"/>
      <c r="F675" s="41"/>
      <c r="J675" s="41"/>
      <c r="N675" s="42"/>
      <c r="O675" s="42"/>
      <c r="P675" s="42"/>
      <c r="Q675" s="42"/>
      <c r="R675" s="41"/>
      <c r="S675" s="41"/>
      <c r="T675" s="41"/>
    </row>
    <row r="676" spans="5:20">
      <c r="E676" s="39"/>
      <c r="F676" s="41"/>
      <c r="J676" s="41"/>
      <c r="N676" s="42"/>
      <c r="O676" s="42"/>
      <c r="P676" s="42"/>
      <c r="Q676" s="42"/>
      <c r="R676" s="41"/>
      <c r="S676" s="41"/>
      <c r="T676" s="41"/>
    </row>
    <row r="677" spans="5:20">
      <c r="E677" s="39"/>
      <c r="F677" s="41"/>
      <c r="J677" s="41"/>
      <c r="N677" s="42"/>
      <c r="O677" s="42"/>
      <c r="P677" s="42"/>
      <c r="Q677" s="42"/>
      <c r="R677" s="41"/>
      <c r="S677" s="41"/>
      <c r="T677" s="41"/>
    </row>
    <row r="678" spans="5:20">
      <c r="E678" s="39"/>
      <c r="F678" s="41"/>
      <c r="J678" s="41"/>
      <c r="N678" s="42"/>
      <c r="O678" s="42"/>
      <c r="P678" s="42"/>
      <c r="Q678" s="42"/>
      <c r="R678" s="41"/>
      <c r="S678" s="41"/>
      <c r="T678" s="41"/>
    </row>
    <row r="679" spans="5:20">
      <c r="E679" s="39"/>
      <c r="F679" s="41"/>
      <c r="J679" s="41"/>
      <c r="N679" s="42"/>
      <c r="O679" s="42"/>
      <c r="P679" s="42"/>
      <c r="Q679" s="42"/>
      <c r="R679" s="41"/>
      <c r="S679" s="41"/>
      <c r="T679" s="41"/>
    </row>
    <row r="680" spans="5:20">
      <c r="E680" s="39"/>
      <c r="F680" s="41"/>
      <c r="J680" s="41"/>
      <c r="N680" s="42"/>
      <c r="O680" s="42"/>
      <c r="P680" s="42"/>
      <c r="Q680" s="42"/>
      <c r="R680" s="41"/>
      <c r="S680" s="41"/>
      <c r="T680" s="41"/>
    </row>
    <row r="681" spans="5:20">
      <c r="E681" s="39"/>
      <c r="F681" s="41"/>
      <c r="J681" s="41"/>
      <c r="N681" s="42"/>
      <c r="O681" s="42"/>
      <c r="P681" s="42"/>
      <c r="Q681" s="42"/>
      <c r="R681" s="41"/>
      <c r="S681" s="41"/>
      <c r="T681" s="41"/>
    </row>
    <row r="682" spans="5:20">
      <c r="E682" s="39"/>
      <c r="F682" s="41"/>
      <c r="J682" s="41"/>
      <c r="N682" s="42"/>
      <c r="O682" s="42"/>
      <c r="P682" s="42"/>
      <c r="Q682" s="42"/>
      <c r="R682" s="41"/>
      <c r="S682" s="41"/>
      <c r="T682" s="41"/>
    </row>
    <row r="683" spans="5:20">
      <c r="E683" s="39"/>
      <c r="F683" s="41"/>
      <c r="J683" s="41"/>
      <c r="N683" s="42"/>
      <c r="O683" s="42"/>
      <c r="P683" s="42"/>
      <c r="Q683" s="42"/>
      <c r="R683" s="41"/>
      <c r="S683" s="41"/>
      <c r="T683" s="41"/>
    </row>
    <row r="684" spans="5:20">
      <c r="E684" s="39"/>
      <c r="F684" s="41"/>
      <c r="J684" s="41"/>
      <c r="N684" s="42"/>
      <c r="O684" s="42"/>
      <c r="P684" s="42"/>
      <c r="Q684" s="42"/>
      <c r="R684" s="41"/>
      <c r="S684" s="41"/>
      <c r="T684" s="41"/>
    </row>
    <row r="685" spans="5:20">
      <c r="E685" s="39"/>
      <c r="F685" s="41"/>
      <c r="J685" s="41"/>
      <c r="N685" s="42"/>
      <c r="O685" s="42"/>
      <c r="P685" s="42"/>
      <c r="Q685" s="42"/>
      <c r="R685" s="41"/>
      <c r="S685" s="41"/>
      <c r="T685" s="41"/>
    </row>
    <row r="686" spans="5:20">
      <c r="E686" s="39"/>
      <c r="F686" s="41"/>
      <c r="J686" s="41"/>
      <c r="N686" s="42"/>
      <c r="O686" s="42"/>
      <c r="P686" s="42"/>
      <c r="Q686" s="42"/>
      <c r="R686" s="41"/>
      <c r="S686" s="41"/>
      <c r="T686" s="41"/>
    </row>
    <row r="687" spans="5:20">
      <c r="E687" s="39"/>
      <c r="F687" s="41"/>
      <c r="J687" s="41"/>
      <c r="N687" s="42"/>
      <c r="O687" s="42"/>
      <c r="P687" s="42"/>
      <c r="Q687" s="42"/>
      <c r="R687" s="41"/>
      <c r="S687" s="41"/>
      <c r="T687" s="41"/>
    </row>
    <row r="688" spans="5:20">
      <c r="E688" s="39"/>
      <c r="F688" s="41"/>
      <c r="J688" s="41"/>
      <c r="N688" s="42"/>
      <c r="O688" s="42"/>
      <c r="P688" s="42"/>
      <c r="Q688" s="42"/>
      <c r="R688" s="41"/>
      <c r="S688" s="41"/>
      <c r="T688" s="41"/>
    </row>
    <row r="689" spans="5:20">
      <c r="E689" s="39"/>
      <c r="F689" s="41"/>
      <c r="J689" s="41"/>
      <c r="N689" s="42"/>
      <c r="O689" s="42"/>
      <c r="P689" s="42"/>
      <c r="Q689" s="42"/>
      <c r="R689" s="41"/>
      <c r="S689" s="41"/>
      <c r="T689" s="41"/>
    </row>
    <row r="690" spans="5:20">
      <c r="E690" s="39"/>
      <c r="F690" s="41"/>
      <c r="J690" s="41"/>
      <c r="N690" s="42"/>
      <c r="O690" s="42"/>
      <c r="P690" s="42"/>
      <c r="Q690" s="42"/>
      <c r="R690" s="41"/>
      <c r="S690" s="41"/>
      <c r="T690" s="41"/>
    </row>
    <row r="691" spans="5:20">
      <c r="E691" s="39"/>
      <c r="F691" s="41"/>
      <c r="J691" s="41"/>
      <c r="N691" s="42"/>
      <c r="O691" s="42"/>
      <c r="P691" s="42"/>
      <c r="Q691" s="42"/>
      <c r="R691" s="41"/>
      <c r="S691" s="41"/>
      <c r="T691" s="41"/>
    </row>
    <row r="692" spans="5:20">
      <c r="E692" s="39"/>
      <c r="F692" s="41"/>
      <c r="J692" s="41"/>
      <c r="N692" s="42"/>
      <c r="O692" s="42"/>
      <c r="P692" s="42"/>
      <c r="Q692" s="42"/>
      <c r="R692" s="41"/>
      <c r="S692" s="41"/>
      <c r="T692" s="41"/>
    </row>
    <row r="693" spans="5:20">
      <c r="E693" s="39"/>
      <c r="F693" s="41"/>
      <c r="J693" s="41"/>
      <c r="N693" s="42"/>
      <c r="O693" s="42"/>
      <c r="P693" s="42"/>
      <c r="Q693" s="42"/>
      <c r="R693" s="41"/>
      <c r="S693" s="41"/>
      <c r="T693" s="41"/>
    </row>
    <row r="694" spans="5:20">
      <c r="E694" s="39"/>
      <c r="F694" s="41"/>
      <c r="J694" s="41"/>
      <c r="N694" s="42"/>
      <c r="O694" s="42"/>
      <c r="P694" s="42"/>
      <c r="Q694" s="42"/>
      <c r="R694" s="41"/>
      <c r="S694" s="41"/>
      <c r="T694" s="41"/>
    </row>
    <row r="695" spans="5:20">
      <c r="E695" s="39"/>
      <c r="F695" s="41"/>
      <c r="J695" s="41"/>
      <c r="N695" s="42"/>
      <c r="O695" s="42"/>
      <c r="P695" s="42"/>
      <c r="Q695" s="42"/>
      <c r="R695" s="41"/>
      <c r="S695" s="41"/>
      <c r="T695" s="41"/>
    </row>
    <row r="696" spans="5:20">
      <c r="E696" s="39"/>
      <c r="F696" s="41"/>
      <c r="J696" s="41"/>
      <c r="N696" s="42"/>
      <c r="O696" s="42"/>
      <c r="P696" s="42"/>
      <c r="Q696" s="42"/>
      <c r="R696" s="41"/>
      <c r="S696" s="41"/>
      <c r="T696" s="41"/>
    </row>
    <row r="697" spans="5:20">
      <c r="E697" s="39"/>
      <c r="F697" s="41"/>
      <c r="J697" s="41"/>
      <c r="N697" s="42"/>
      <c r="O697" s="42"/>
      <c r="P697" s="42"/>
      <c r="Q697" s="42"/>
      <c r="R697" s="41"/>
      <c r="S697" s="41"/>
      <c r="T697" s="41"/>
    </row>
    <row r="698" spans="5:20">
      <c r="E698" s="39"/>
      <c r="F698" s="41"/>
      <c r="J698" s="41"/>
      <c r="N698" s="42"/>
      <c r="O698" s="42"/>
      <c r="P698" s="42"/>
      <c r="Q698" s="42"/>
      <c r="R698" s="41"/>
      <c r="S698" s="41"/>
      <c r="T698" s="41"/>
    </row>
    <row r="699" spans="5:20">
      <c r="E699" s="39"/>
      <c r="F699" s="41"/>
      <c r="J699" s="41"/>
      <c r="N699" s="42"/>
      <c r="O699" s="42"/>
      <c r="P699" s="42"/>
      <c r="Q699" s="42"/>
      <c r="R699" s="41"/>
      <c r="S699" s="41"/>
      <c r="T699" s="41"/>
    </row>
    <row r="700" spans="5:20">
      <c r="E700" s="39"/>
      <c r="F700" s="41"/>
      <c r="J700" s="41"/>
      <c r="N700" s="42"/>
      <c r="O700" s="42"/>
      <c r="P700" s="42"/>
      <c r="Q700" s="42"/>
      <c r="R700" s="41"/>
      <c r="S700" s="41"/>
      <c r="T700" s="41"/>
    </row>
    <row r="701" spans="5:20">
      <c r="E701" s="39"/>
      <c r="F701" s="41"/>
      <c r="J701" s="41"/>
      <c r="N701" s="42"/>
      <c r="O701" s="42"/>
      <c r="P701" s="42"/>
      <c r="Q701" s="42"/>
      <c r="R701" s="41"/>
      <c r="S701" s="41"/>
      <c r="T701" s="41"/>
    </row>
    <row r="702" spans="5:20">
      <c r="E702" s="39"/>
      <c r="F702" s="41"/>
      <c r="J702" s="41"/>
      <c r="N702" s="42"/>
      <c r="O702" s="42"/>
      <c r="P702" s="42"/>
      <c r="Q702" s="42"/>
      <c r="R702" s="41"/>
      <c r="S702" s="41"/>
      <c r="T702" s="41"/>
    </row>
    <row r="703" spans="5:20">
      <c r="E703" s="39"/>
      <c r="F703" s="41"/>
      <c r="J703" s="41"/>
      <c r="N703" s="42"/>
      <c r="O703" s="42"/>
      <c r="P703" s="42"/>
      <c r="Q703" s="42"/>
      <c r="R703" s="41"/>
      <c r="S703" s="41"/>
      <c r="T703" s="41"/>
    </row>
    <row r="704" spans="5:20">
      <c r="E704" s="39"/>
      <c r="F704" s="41"/>
      <c r="J704" s="41"/>
      <c r="N704" s="42"/>
      <c r="O704" s="42"/>
      <c r="P704" s="42"/>
      <c r="Q704" s="42"/>
      <c r="R704" s="41"/>
      <c r="S704" s="41"/>
      <c r="T704" s="41"/>
    </row>
    <row r="705" spans="5:20">
      <c r="E705" s="39"/>
      <c r="F705" s="41"/>
      <c r="J705" s="41"/>
      <c r="N705" s="42"/>
      <c r="O705" s="42"/>
      <c r="P705" s="42"/>
      <c r="Q705" s="42"/>
      <c r="R705" s="41"/>
      <c r="S705" s="41"/>
      <c r="T705" s="41"/>
    </row>
    <row r="706" spans="5:20">
      <c r="E706" s="39"/>
      <c r="F706" s="41"/>
      <c r="J706" s="41"/>
      <c r="N706" s="42"/>
      <c r="O706" s="42"/>
      <c r="P706" s="42"/>
      <c r="Q706" s="42"/>
      <c r="R706" s="41"/>
      <c r="S706" s="41"/>
      <c r="T706" s="41"/>
    </row>
    <row r="707" spans="5:20">
      <c r="E707" s="39"/>
      <c r="F707" s="41"/>
      <c r="J707" s="41"/>
      <c r="N707" s="42"/>
      <c r="O707" s="42"/>
      <c r="P707" s="42"/>
      <c r="Q707" s="42"/>
      <c r="R707" s="41"/>
      <c r="S707" s="41"/>
      <c r="T707" s="41"/>
    </row>
    <row r="708" spans="5:20">
      <c r="E708" s="39"/>
      <c r="F708" s="41"/>
      <c r="J708" s="41"/>
      <c r="N708" s="42"/>
      <c r="O708" s="42"/>
      <c r="P708" s="42"/>
      <c r="Q708" s="42"/>
      <c r="R708" s="41"/>
      <c r="S708" s="41"/>
      <c r="T708" s="41"/>
    </row>
    <row r="709" spans="5:20">
      <c r="E709" s="39"/>
      <c r="F709" s="41"/>
      <c r="J709" s="41"/>
      <c r="N709" s="42"/>
      <c r="O709" s="42"/>
      <c r="P709" s="42"/>
      <c r="Q709" s="42"/>
      <c r="R709" s="41"/>
      <c r="S709" s="41"/>
      <c r="T709" s="41"/>
    </row>
    <row r="710" spans="5:20">
      <c r="E710" s="39"/>
      <c r="F710" s="41"/>
      <c r="J710" s="41"/>
      <c r="N710" s="42"/>
      <c r="O710" s="42"/>
      <c r="P710" s="42"/>
      <c r="Q710" s="42"/>
      <c r="R710" s="41"/>
      <c r="S710" s="41"/>
      <c r="T710" s="41"/>
    </row>
    <row r="711" spans="5:20">
      <c r="E711" s="39"/>
      <c r="F711" s="41"/>
      <c r="J711" s="41"/>
      <c r="N711" s="42"/>
      <c r="O711" s="42"/>
      <c r="P711" s="42"/>
      <c r="Q711" s="42"/>
      <c r="R711" s="41"/>
      <c r="S711" s="41"/>
      <c r="T711" s="41"/>
    </row>
    <row r="712" spans="5:20">
      <c r="E712" s="39"/>
      <c r="F712" s="41"/>
      <c r="J712" s="41"/>
      <c r="N712" s="42"/>
      <c r="O712" s="42"/>
      <c r="P712" s="42"/>
      <c r="Q712" s="42"/>
      <c r="R712" s="41"/>
      <c r="S712" s="41"/>
      <c r="T712" s="41"/>
    </row>
    <row r="713" spans="5:20">
      <c r="E713" s="39"/>
      <c r="F713" s="41"/>
      <c r="J713" s="41"/>
      <c r="N713" s="42"/>
      <c r="O713" s="42"/>
      <c r="P713" s="42"/>
      <c r="Q713" s="42"/>
      <c r="R713" s="41"/>
      <c r="S713" s="41"/>
      <c r="T713" s="41"/>
    </row>
    <row r="714" spans="5:20">
      <c r="E714" s="39"/>
      <c r="F714" s="41"/>
      <c r="J714" s="41"/>
      <c r="N714" s="42"/>
      <c r="O714" s="42"/>
      <c r="P714" s="42"/>
      <c r="Q714" s="42"/>
      <c r="R714" s="41"/>
      <c r="S714" s="41"/>
      <c r="T714" s="41"/>
    </row>
    <row r="715" spans="5:20">
      <c r="E715" s="39"/>
      <c r="F715" s="41"/>
      <c r="J715" s="41"/>
      <c r="N715" s="42"/>
      <c r="O715" s="42"/>
      <c r="P715" s="42"/>
      <c r="Q715" s="42"/>
      <c r="R715" s="41"/>
      <c r="S715" s="41"/>
      <c r="T715" s="41"/>
    </row>
    <row r="716" spans="5:20">
      <c r="E716" s="39"/>
      <c r="F716" s="41"/>
      <c r="J716" s="41"/>
      <c r="N716" s="42"/>
      <c r="O716" s="42"/>
      <c r="P716" s="42"/>
      <c r="Q716" s="42"/>
      <c r="R716" s="41"/>
      <c r="S716" s="41"/>
      <c r="T716" s="41"/>
    </row>
    <row r="717" spans="5:20">
      <c r="E717" s="39"/>
      <c r="F717" s="41"/>
      <c r="J717" s="41"/>
      <c r="N717" s="42"/>
      <c r="O717" s="42"/>
      <c r="P717" s="42"/>
      <c r="Q717" s="42"/>
      <c r="R717" s="41"/>
      <c r="S717" s="41"/>
      <c r="T717" s="41"/>
    </row>
    <row r="718" spans="5:20">
      <c r="E718" s="39"/>
      <c r="F718" s="41"/>
      <c r="J718" s="41"/>
      <c r="N718" s="42"/>
      <c r="O718" s="42"/>
      <c r="P718" s="42"/>
      <c r="Q718" s="42"/>
      <c r="R718" s="41"/>
      <c r="S718" s="41"/>
      <c r="T718" s="41"/>
    </row>
    <row r="719" spans="5:20">
      <c r="E719" s="39"/>
      <c r="F719" s="41"/>
      <c r="J719" s="41"/>
      <c r="N719" s="42"/>
      <c r="O719" s="42"/>
      <c r="P719" s="42"/>
      <c r="Q719" s="42"/>
      <c r="R719" s="41"/>
      <c r="S719" s="41"/>
      <c r="T719" s="41"/>
    </row>
    <row r="720" spans="5:20">
      <c r="E720" s="39"/>
      <c r="F720" s="41"/>
      <c r="J720" s="41"/>
      <c r="N720" s="42"/>
      <c r="O720" s="42"/>
      <c r="P720" s="42"/>
      <c r="Q720" s="42"/>
      <c r="R720" s="41"/>
      <c r="S720" s="41"/>
      <c r="T720" s="41"/>
    </row>
    <row r="721" spans="5:20">
      <c r="E721" s="39"/>
      <c r="F721" s="41"/>
      <c r="J721" s="41"/>
      <c r="N721" s="42"/>
      <c r="O721" s="42"/>
      <c r="P721" s="42"/>
      <c r="Q721" s="42"/>
      <c r="R721" s="41"/>
      <c r="S721" s="41"/>
      <c r="T721" s="41"/>
    </row>
    <row r="722" spans="5:20">
      <c r="E722" s="39"/>
      <c r="F722" s="41"/>
      <c r="J722" s="41"/>
      <c r="N722" s="42"/>
      <c r="O722" s="42"/>
      <c r="P722" s="42"/>
      <c r="Q722" s="42"/>
      <c r="R722" s="41"/>
      <c r="S722" s="41"/>
      <c r="T722" s="41"/>
    </row>
    <row r="723" spans="5:20">
      <c r="E723" s="39"/>
      <c r="F723" s="41"/>
      <c r="J723" s="41"/>
      <c r="N723" s="42"/>
      <c r="O723" s="42"/>
      <c r="P723" s="42"/>
      <c r="Q723" s="42"/>
      <c r="R723" s="41"/>
      <c r="S723" s="41"/>
      <c r="T723" s="41"/>
    </row>
    <row r="724" spans="5:20">
      <c r="E724" s="39"/>
      <c r="F724" s="41"/>
      <c r="J724" s="41"/>
      <c r="N724" s="42"/>
      <c r="O724" s="42"/>
      <c r="P724" s="42"/>
      <c r="Q724" s="42"/>
      <c r="R724" s="41"/>
      <c r="S724" s="41"/>
      <c r="T724" s="41"/>
    </row>
    <row r="725" spans="5:20">
      <c r="E725" s="39"/>
      <c r="F725" s="41"/>
      <c r="J725" s="41"/>
      <c r="N725" s="42"/>
      <c r="O725" s="42"/>
      <c r="P725" s="42"/>
      <c r="Q725" s="42"/>
      <c r="R725" s="41"/>
      <c r="S725" s="41"/>
      <c r="T725" s="41"/>
    </row>
    <row r="726" spans="5:20">
      <c r="E726" s="39"/>
      <c r="F726" s="41"/>
      <c r="J726" s="41"/>
      <c r="N726" s="42"/>
      <c r="O726" s="42"/>
      <c r="P726" s="42"/>
      <c r="Q726" s="42"/>
      <c r="R726" s="41"/>
      <c r="S726" s="41"/>
      <c r="T726" s="41"/>
    </row>
    <row r="727" spans="5:20">
      <c r="E727" s="39"/>
      <c r="F727" s="41"/>
      <c r="J727" s="41"/>
      <c r="N727" s="42"/>
      <c r="O727" s="42"/>
      <c r="P727" s="42"/>
      <c r="Q727" s="42"/>
      <c r="R727" s="41"/>
      <c r="S727" s="41"/>
      <c r="T727" s="41"/>
    </row>
    <row r="728" spans="5:20">
      <c r="E728" s="39"/>
      <c r="F728" s="41"/>
      <c r="J728" s="41"/>
      <c r="N728" s="42"/>
      <c r="O728" s="42"/>
      <c r="P728" s="42"/>
      <c r="Q728" s="42"/>
      <c r="R728" s="41"/>
      <c r="S728" s="41"/>
      <c r="T728" s="41"/>
    </row>
    <row r="729" spans="5:20">
      <c r="E729" s="39"/>
      <c r="F729" s="41"/>
      <c r="J729" s="41"/>
      <c r="N729" s="42"/>
      <c r="O729" s="42"/>
      <c r="P729" s="42"/>
      <c r="Q729" s="42"/>
      <c r="R729" s="41"/>
      <c r="S729" s="41"/>
      <c r="T729" s="41"/>
    </row>
    <row r="730" spans="5:20">
      <c r="E730" s="39"/>
      <c r="F730" s="41"/>
      <c r="J730" s="41"/>
      <c r="N730" s="42"/>
      <c r="O730" s="42"/>
      <c r="P730" s="42"/>
      <c r="Q730" s="42"/>
      <c r="R730" s="41"/>
      <c r="S730" s="41"/>
      <c r="T730" s="41"/>
    </row>
    <row r="731" spans="5:20">
      <c r="E731" s="39"/>
      <c r="F731" s="41"/>
      <c r="J731" s="41"/>
      <c r="N731" s="42"/>
      <c r="O731" s="42"/>
      <c r="P731" s="42"/>
      <c r="Q731" s="42"/>
      <c r="R731" s="41"/>
      <c r="S731" s="41"/>
      <c r="T731" s="41"/>
    </row>
    <row r="732" spans="5:20">
      <c r="E732" s="39"/>
      <c r="F732" s="41"/>
      <c r="J732" s="41"/>
      <c r="N732" s="42"/>
      <c r="O732" s="42"/>
      <c r="P732" s="42"/>
      <c r="Q732" s="42"/>
      <c r="R732" s="41"/>
      <c r="S732" s="41"/>
      <c r="T732" s="41"/>
    </row>
    <row r="733" spans="5:20">
      <c r="E733" s="39"/>
      <c r="F733" s="41"/>
      <c r="J733" s="41"/>
      <c r="N733" s="42"/>
      <c r="O733" s="42"/>
      <c r="P733" s="42"/>
      <c r="Q733" s="42"/>
      <c r="R733" s="41"/>
      <c r="S733" s="41"/>
      <c r="T733" s="41"/>
    </row>
    <row r="734" spans="5:20">
      <c r="E734" s="39"/>
      <c r="F734" s="41"/>
      <c r="J734" s="41"/>
      <c r="N734" s="42"/>
      <c r="O734" s="42"/>
      <c r="P734" s="42"/>
      <c r="Q734" s="42"/>
      <c r="R734" s="41"/>
      <c r="S734" s="41"/>
      <c r="T734" s="41"/>
    </row>
    <row r="735" spans="5:20">
      <c r="E735" s="39"/>
      <c r="F735" s="41"/>
      <c r="J735" s="41"/>
      <c r="N735" s="42"/>
      <c r="O735" s="42"/>
      <c r="P735" s="42"/>
      <c r="Q735" s="42"/>
      <c r="R735" s="41"/>
      <c r="S735" s="41"/>
      <c r="T735" s="41"/>
    </row>
    <row r="736" spans="5:20">
      <c r="E736" s="39"/>
      <c r="F736" s="41"/>
      <c r="J736" s="41"/>
      <c r="N736" s="42"/>
      <c r="O736" s="42"/>
      <c r="P736" s="42"/>
      <c r="Q736" s="42"/>
      <c r="R736" s="41"/>
      <c r="S736" s="41"/>
      <c r="T736" s="41"/>
    </row>
    <row r="737" spans="5:20">
      <c r="E737" s="39"/>
      <c r="F737" s="41"/>
      <c r="J737" s="41"/>
      <c r="N737" s="42"/>
      <c r="O737" s="42"/>
      <c r="P737" s="42"/>
      <c r="Q737" s="42"/>
      <c r="R737" s="41"/>
      <c r="S737" s="41"/>
      <c r="T737" s="41"/>
    </row>
    <row r="738" spans="5:20">
      <c r="E738" s="39"/>
      <c r="F738" s="41"/>
      <c r="J738" s="41"/>
      <c r="N738" s="42"/>
      <c r="O738" s="42"/>
      <c r="P738" s="42"/>
      <c r="Q738" s="42"/>
      <c r="R738" s="41"/>
      <c r="S738" s="41"/>
      <c r="T738" s="41"/>
    </row>
    <row r="739" spans="5:20">
      <c r="E739" s="39"/>
      <c r="F739" s="41"/>
      <c r="J739" s="41"/>
      <c r="N739" s="42"/>
      <c r="O739" s="42"/>
      <c r="P739" s="42"/>
      <c r="Q739" s="42"/>
      <c r="R739" s="41"/>
      <c r="S739" s="41"/>
      <c r="T739" s="41"/>
    </row>
    <row r="740" spans="5:20">
      <c r="E740" s="39"/>
      <c r="F740" s="41"/>
      <c r="J740" s="41"/>
      <c r="N740" s="42"/>
      <c r="O740" s="42"/>
      <c r="P740" s="42"/>
      <c r="Q740" s="42"/>
      <c r="R740" s="41"/>
      <c r="S740" s="41"/>
      <c r="T740" s="41"/>
    </row>
    <row r="741" spans="5:20">
      <c r="E741" s="39"/>
      <c r="F741" s="41"/>
      <c r="J741" s="41"/>
      <c r="N741" s="42"/>
      <c r="O741" s="42"/>
      <c r="P741" s="42"/>
      <c r="Q741" s="42"/>
      <c r="R741" s="41"/>
      <c r="S741" s="41"/>
      <c r="T741" s="41"/>
    </row>
    <row r="742" spans="5:20">
      <c r="E742" s="39"/>
      <c r="F742" s="41"/>
      <c r="J742" s="41"/>
      <c r="N742" s="42"/>
      <c r="O742" s="42"/>
      <c r="P742" s="42"/>
      <c r="Q742" s="42"/>
      <c r="R742" s="41"/>
      <c r="S742" s="41"/>
      <c r="T742" s="41"/>
    </row>
    <row r="743" spans="5:20">
      <c r="E743" s="39"/>
      <c r="F743" s="41"/>
      <c r="J743" s="41"/>
      <c r="N743" s="42"/>
      <c r="O743" s="42"/>
      <c r="P743" s="42"/>
      <c r="Q743" s="42"/>
      <c r="R743" s="41"/>
      <c r="S743" s="41"/>
      <c r="T743" s="41"/>
    </row>
    <row r="744" spans="5:20">
      <c r="E744" s="39"/>
      <c r="F744" s="41"/>
      <c r="J744" s="41"/>
      <c r="N744" s="42"/>
      <c r="O744" s="42"/>
      <c r="P744" s="42"/>
      <c r="Q744" s="42"/>
      <c r="R744" s="41"/>
      <c r="S744" s="41"/>
      <c r="T744" s="41"/>
    </row>
    <row r="745" spans="5:20">
      <c r="E745" s="39"/>
      <c r="F745" s="41"/>
      <c r="J745" s="41"/>
      <c r="N745" s="42"/>
      <c r="O745" s="42"/>
      <c r="P745" s="42"/>
      <c r="Q745" s="42"/>
      <c r="R745" s="41"/>
      <c r="S745" s="41"/>
      <c r="T745" s="41"/>
    </row>
    <row r="746" spans="5:20">
      <c r="E746" s="39"/>
      <c r="F746" s="41"/>
      <c r="J746" s="41"/>
      <c r="N746" s="42"/>
      <c r="O746" s="42"/>
      <c r="P746" s="42"/>
      <c r="Q746" s="42"/>
      <c r="R746" s="41"/>
      <c r="S746" s="41"/>
      <c r="T746" s="41"/>
    </row>
    <row r="747" spans="5:20">
      <c r="E747" s="39"/>
      <c r="F747" s="41"/>
      <c r="J747" s="41"/>
      <c r="N747" s="42"/>
      <c r="O747" s="42"/>
      <c r="P747" s="42"/>
      <c r="Q747" s="42"/>
      <c r="R747" s="41"/>
      <c r="S747" s="41"/>
      <c r="T747" s="41"/>
    </row>
    <row r="748" spans="5:20">
      <c r="E748" s="39"/>
      <c r="F748" s="41"/>
      <c r="J748" s="41"/>
      <c r="N748" s="42"/>
      <c r="O748" s="42"/>
      <c r="P748" s="42"/>
      <c r="Q748" s="42"/>
      <c r="R748" s="41"/>
      <c r="S748" s="41"/>
      <c r="T748" s="41"/>
    </row>
    <row r="749" spans="5:20">
      <c r="E749" s="39"/>
      <c r="F749" s="41"/>
      <c r="J749" s="41"/>
      <c r="N749" s="42"/>
      <c r="O749" s="42"/>
      <c r="P749" s="42"/>
      <c r="Q749" s="42"/>
      <c r="R749" s="41"/>
      <c r="S749" s="41"/>
      <c r="T749" s="41"/>
    </row>
    <row r="750" spans="5:20">
      <c r="E750" s="39"/>
      <c r="F750" s="41"/>
      <c r="J750" s="41"/>
      <c r="N750" s="42"/>
      <c r="O750" s="42"/>
      <c r="P750" s="42"/>
      <c r="Q750" s="42"/>
      <c r="R750" s="41"/>
      <c r="S750" s="41"/>
      <c r="T750" s="41"/>
    </row>
    <row r="751" spans="5:20">
      <c r="E751" s="39"/>
      <c r="F751" s="41"/>
      <c r="J751" s="41"/>
      <c r="N751" s="42"/>
      <c r="O751" s="42"/>
      <c r="P751" s="42"/>
      <c r="Q751" s="42"/>
      <c r="R751" s="41"/>
      <c r="S751" s="41"/>
      <c r="T751" s="41"/>
    </row>
    <row r="752" spans="5:20">
      <c r="E752" s="39"/>
      <c r="F752" s="41"/>
      <c r="J752" s="41"/>
      <c r="N752" s="42"/>
      <c r="O752" s="42"/>
      <c r="P752" s="42"/>
      <c r="Q752" s="42"/>
      <c r="R752" s="41"/>
      <c r="S752" s="41"/>
      <c r="T752" s="41"/>
    </row>
    <row r="753" spans="5:20">
      <c r="E753" s="39"/>
      <c r="F753" s="41"/>
      <c r="J753" s="41"/>
      <c r="N753" s="42"/>
      <c r="O753" s="42"/>
      <c r="P753" s="42"/>
      <c r="Q753" s="42"/>
      <c r="R753" s="41"/>
      <c r="S753" s="41"/>
      <c r="T753" s="41"/>
    </row>
    <row r="754" spans="5:20">
      <c r="E754" s="39"/>
      <c r="F754" s="41"/>
      <c r="J754" s="41"/>
      <c r="N754" s="42"/>
      <c r="O754" s="42"/>
      <c r="P754" s="42"/>
      <c r="Q754" s="42"/>
      <c r="R754" s="41"/>
      <c r="S754" s="41"/>
      <c r="T754" s="41"/>
    </row>
    <row r="755" spans="5:20">
      <c r="E755" s="39"/>
      <c r="F755" s="41"/>
      <c r="J755" s="41"/>
      <c r="N755" s="42"/>
      <c r="O755" s="42"/>
      <c r="P755" s="42"/>
      <c r="Q755" s="42"/>
      <c r="R755" s="41"/>
      <c r="S755" s="41"/>
      <c r="T755" s="41"/>
    </row>
    <row r="756" spans="5:20">
      <c r="E756" s="39"/>
      <c r="F756" s="41"/>
      <c r="J756" s="41"/>
      <c r="N756" s="42"/>
      <c r="O756" s="42"/>
      <c r="P756" s="42"/>
      <c r="Q756" s="42"/>
      <c r="R756" s="41"/>
      <c r="S756" s="41"/>
      <c r="T756" s="41"/>
    </row>
    <row r="757" spans="5:20">
      <c r="E757" s="39"/>
      <c r="F757" s="41"/>
      <c r="J757" s="41"/>
      <c r="N757" s="42"/>
      <c r="O757" s="42"/>
      <c r="P757" s="42"/>
      <c r="Q757" s="42"/>
      <c r="R757" s="41"/>
      <c r="S757" s="41"/>
      <c r="T757" s="41"/>
    </row>
    <row r="758" spans="5:20">
      <c r="E758" s="39"/>
      <c r="F758" s="41"/>
      <c r="J758" s="41"/>
      <c r="N758" s="42"/>
      <c r="O758" s="42"/>
      <c r="P758" s="42"/>
      <c r="Q758" s="42"/>
      <c r="R758" s="41"/>
      <c r="S758" s="41"/>
      <c r="T758" s="41"/>
    </row>
    <row r="759" spans="5:20">
      <c r="E759" s="39"/>
      <c r="F759" s="41"/>
      <c r="J759" s="41"/>
      <c r="N759" s="42"/>
      <c r="O759" s="42"/>
      <c r="P759" s="42"/>
      <c r="Q759" s="42"/>
      <c r="R759" s="41"/>
      <c r="S759" s="41"/>
      <c r="T759" s="41"/>
    </row>
    <row r="760" spans="5:20">
      <c r="E760" s="39"/>
      <c r="F760" s="41"/>
      <c r="J760" s="41"/>
      <c r="N760" s="42"/>
      <c r="O760" s="42"/>
      <c r="P760" s="42"/>
      <c r="Q760" s="42"/>
      <c r="R760" s="41"/>
      <c r="S760" s="41"/>
      <c r="T760" s="41"/>
    </row>
    <row r="761" spans="5:20">
      <c r="E761" s="39"/>
      <c r="F761" s="41"/>
      <c r="J761" s="41"/>
      <c r="N761" s="42"/>
      <c r="O761" s="42"/>
      <c r="P761" s="42"/>
      <c r="Q761" s="42"/>
      <c r="R761" s="41"/>
      <c r="S761" s="41"/>
      <c r="T761" s="41"/>
    </row>
    <row r="762" spans="5:20">
      <c r="E762" s="39"/>
      <c r="F762" s="41"/>
      <c r="J762" s="41"/>
      <c r="N762" s="42"/>
      <c r="O762" s="42"/>
      <c r="P762" s="42"/>
      <c r="Q762" s="42"/>
      <c r="R762" s="41"/>
      <c r="S762" s="41"/>
      <c r="T762" s="41"/>
    </row>
    <row r="763" spans="5:20">
      <c r="E763" s="39"/>
      <c r="F763" s="41"/>
      <c r="J763" s="41"/>
      <c r="N763" s="42"/>
      <c r="O763" s="42"/>
      <c r="P763" s="42"/>
      <c r="Q763" s="42"/>
      <c r="R763" s="41"/>
      <c r="S763" s="41"/>
      <c r="T763" s="41"/>
    </row>
    <row r="764" spans="5:20">
      <c r="E764" s="39"/>
      <c r="F764" s="41"/>
      <c r="J764" s="41"/>
      <c r="N764" s="42"/>
      <c r="O764" s="42"/>
      <c r="P764" s="42"/>
      <c r="Q764" s="42"/>
      <c r="R764" s="41"/>
      <c r="S764" s="41"/>
      <c r="T764" s="41"/>
    </row>
    <row r="765" spans="5:20">
      <c r="E765" s="39"/>
      <c r="F765" s="41"/>
      <c r="J765" s="41"/>
      <c r="N765" s="42"/>
      <c r="O765" s="42"/>
      <c r="P765" s="42"/>
      <c r="Q765" s="42"/>
      <c r="R765" s="41"/>
      <c r="S765" s="41"/>
      <c r="T765" s="41"/>
    </row>
    <row r="766" spans="5:20">
      <c r="E766" s="39"/>
      <c r="F766" s="41"/>
      <c r="J766" s="41"/>
      <c r="N766" s="42"/>
      <c r="O766" s="42"/>
      <c r="P766" s="42"/>
      <c r="Q766" s="42"/>
      <c r="R766" s="41"/>
      <c r="S766" s="41"/>
      <c r="T766" s="41"/>
    </row>
    <row r="767" spans="5:20">
      <c r="E767" s="39"/>
      <c r="F767" s="41"/>
      <c r="J767" s="41"/>
      <c r="N767" s="42"/>
      <c r="O767" s="42"/>
      <c r="P767" s="42"/>
      <c r="Q767" s="42"/>
      <c r="R767" s="41"/>
      <c r="S767" s="41"/>
      <c r="T767" s="41"/>
    </row>
    <row r="768" spans="5:20">
      <c r="E768" s="39"/>
      <c r="F768" s="41"/>
      <c r="J768" s="41"/>
      <c r="N768" s="42"/>
      <c r="O768" s="42"/>
      <c r="P768" s="42"/>
      <c r="Q768" s="42"/>
      <c r="R768" s="41"/>
      <c r="S768" s="41"/>
      <c r="T768" s="41"/>
    </row>
    <row r="769" spans="5:20">
      <c r="E769" s="39"/>
      <c r="F769" s="41"/>
      <c r="J769" s="41"/>
      <c r="N769" s="42"/>
      <c r="O769" s="42"/>
      <c r="P769" s="42"/>
      <c r="Q769" s="42"/>
      <c r="R769" s="41"/>
      <c r="S769" s="41"/>
      <c r="T769" s="41"/>
    </row>
    <row r="770" spans="5:20">
      <c r="E770" s="39"/>
      <c r="F770" s="41"/>
      <c r="J770" s="41"/>
      <c r="N770" s="42"/>
      <c r="O770" s="42"/>
      <c r="P770" s="42"/>
      <c r="Q770" s="42"/>
      <c r="R770" s="41"/>
      <c r="S770" s="41"/>
      <c r="T770" s="41"/>
    </row>
    <row r="771" spans="5:20">
      <c r="E771" s="39"/>
      <c r="F771" s="41"/>
      <c r="J771" s="41"/>
      <c r="N771" s="42"/>
      <c r="O771" s="42"/>
      <c r="P771" s="42"/>
      <c r="Q771" s="42"/>
      <c r="R771" s="41"/>
      <c r="S771" s="41"/>
      <c r="T771" s="41"/>
    </row>
    <row r="772" spans="5:20">
      <c r="E772" s="39"/>
      <c r="F772" s="41"/>
      <c r="J772" s="41"/>
      <c r="N772" s="42"/>
      <c r="O772" s="42"/>
      <c r="P772" s="42"/>
      <c r="Q772" s="42"/>
      <c r="R772" s="41"/>
      <c r="S772" s="41"/>
      <c r="T772" s="41"/>
    </row>
    <row r="773" spans="5:20">
      <c r="E773" s="39"/>
      <c r="F773" s="41"/>
      <c r="J773" s="41"/>
      <c r="N773" s="42"/>
      <c r="O773" s="42"/>
      <c r="P773" s="42"/>
      <c r="Q773" s="42"/>
      <c r="R773" s="41"/>
      <c r="S773" s="41"/>
      <c r="T773" s="41"/>
    </row>
    <row r="774" spans="5:20">
      <c r="E774" s="39"/>
      <c r="F774" s="41"/>
      <c r="J774" s="41"/>
      <c r="N774" s="42"/>
      <c r="O774" s="42"/>
      <c r="P774" s="42"/>
      <c r="Q774" s="42"/>
      <c r="R774" s="41"/>
      <c r="S774" s="41"/>
      <c r="T774" s="41"/>
    </row>
    <row r="775" spans="5:20">
      <c r="E775" s="39"/>
      <c r="F775" s="41"/>
      <c r="J775" s="41"/>
      <c r="N775" s="42"/>
      <c r="O775" s="42"/>
      <c r="P775" s="42"/>
      <c r="Q775" s="42"/>
      <c r="R775" s="41"/>
      <c r="S775" s="41"/>
      <c r="T775" s="41"/>
    </row>
    <row r="776" spans="5:20">
      <c r="E776" s="39"/>
      <c r="F776" s="41"/>
      <c r="J776" s="41"/>
      <c r="N776" s="42"/>
      <c r="O776" s="42"/>
      <c r="P776" s="42"/>
      <c r="Q776" s="42"/>
      <c r="R776" s="41"/>
      <c r="S776" s="41"/>
      <c r="T776" s="41"/>
    </row>
    <row r="777" spans="5:20">
      <c r="E777" s="39"/>
      <c r="F777" s="41"/>
      <c r="J777" s="41"/>
      <c r="N777" s="42"/>
      <c r="O777" s="42"/>
      <c r="P777" s="42"/>
      <c r="Q777" s="42"/>
      <c r="R777" s="41"/>
      <c r="S777" s="41"/>
      <c r="T777" s="41"/>
    </row>
    <row r="778" spans="5:20">
      <c r="E778" s="39"/>
      <c r="F778" s="41"/>
      <c r="J778" s="41"/>
      <c r="N778" s="42"/>
      <c r="O778" s="42"/>
      <c r="P778" s="42"/>
      <c r="Q778" s="42"/>
      <c r="R778" s="41"/>
      <c r="S778" s="41"/>
      <c r="T778" s="41"/>
    </row>
    <row r="779" spans="5:20">
      <c r="E779" s="39"/>
      <c r="F779" s="41"/>
      <c r="J779" s="41"/>
      <c r="N779" s="42"/>
      <c r="O779" s="42"/>
      <c r="P779" s="42"/>
      <c r="Q779" s="42"/>
      <c r="R779" s="41"/>
      <c r="S779" s="41"/>
      <c r="T779" s="41"/>
    </row>
    <row r="780" spans="5:20">
      <c r="E780" s="39"/>
      <c r="F780" s="41"/>
      <c r="J780" s="41"/>
      <c r="N780" s="42"/>
      <c r="O780" s="42"/>
      <c r="P780" s="42"/>
      <c r="Q780" s="42"/>
      <c r="R780" s="41"/>
      <c r="S780" s="41"/>
      <c r="T780" s="41"/>
    </row>
    <row r="781" spans="5:20">
      <c r="E781" s="39"/>
      <c r="F781" s="41"/>
      <c r="J781" s="41"/>
      <c r="N781" s="42"/>
      <c r="O781" s="42"/>
      <c r="P781" s="42"/>
      <c r="Q781" s="42"/>
      <c r="R781" s="41"/>
      <c r="S781" s="41"/>
      <c r="T781" s="41"/>
    </row>
    <row r="782" spans="5:20">
      <c r="E782" s="39"/>
      <c r="F782" s="41"/>
      <c r="J782" s="41"/>
      <c r="N782" s="42"/>
      <c r="O782" s="42"/>
      <c r="P782" s="42"/>
      <c r="Q782" s="42"/>
      <c r="R782" s="41"/>
      <c r="S782" s="41"/>
      <c r="T782" s="41"/>
    </row>
    <row r="783" spans="5:20">
      <c r="E783" s="39"/>
      <c r="F783" s="41"/>
      <c r="J783" s="41"/>
      <c r="N783" s="42"/>
      <c r="O783" s="42"/>
      <c r="P783" s="42"/>
      <c r="Q783" s="42"/>
      <c r="R783" s="41"/>
      <c r="S783" s="41"/>
      <c r="T783" s="41"/>
    </row>
    <row r="784" spans="5:20">
      <c r="E784" s="39"/>
      <c r="F784" s="41"/>
      <c r="J784" s="41"/>
      <c r="N784" s="42"/>
      <c r="O784" s="42"/>
      <c r="P784" s="42"/>
      <c r="Q784" s="42"/>
      <c r="R784" s="41"/>
      <c r="S784" s="41"/>
      <c r="T784" s="41"/>
    </row>
    <row r="785" spans="5:20">
      <c r="E785" s="39"/>
      <c r="F785" s="41"/>
      <c r="J785" s="41"/>
      <c r="N785" s="42"/>
      <c r="O785" s="42"/>
      <c r="P785" s="42"/>
      <c r="Q785" s="42"/>
      <c r="R785" s="41"/>
      <c r="S785" s="41"/>
      <c r="T785" s="41"/>
    </row>
    <row r="786" spans="5:20">
      <c r="E786" s="39"/>
      <c r="F786" s="41"/>
      <c r="J786" s="41"/>
      <c r="N786" s="42"/>
      <c r="O786" s="42"/>
      <c r="P786" s="42"/>
      <c r="Q786" s="42"/>
      <c r="R786" s="41"/>
      <c r="S786" s="41"/>
      <c r="T786" s="41"/>
    </row>
    <row r="787" spans="5:20">
      <c r="E787" s="39"/>
      <c r="F787" s="41"/>
      <c r="J787" s="41"/>
      <c r="N787" s="42"/>
      <c r="O787" s="42"/>
      <c r="P787" s="42"/>
      <c r="Q787" s="42"/>
      <c r="R787" s="41"/>
      <c r="S787" s="41"/>
      <c r="T787" s="41"/>
    </row>
    <row r="788" spans="5:20">
      <c r="E788" s="39"/>
      <c r="F788" s="41"/>
      <c r="J788" s="41"/>
      <c r="N788" s="42"/>
      <c r="O788" s="42"/>
      <c r="P788" s="42"/>
      <c r="Q788" s="42"/>
      <c r="R788" s="41"/>
      <c r="S788" s="41"/>
      <c r="T788" s="41"/>
    </row>
    <row r="789" spans="5:20">
      <c r="E789" s="39"/>
      <c r="F789" s="41"/>
      <c r="J789" s="41"/>
      <c r="N789" s="42"/>
      <c r="O789" s="42"/>
      <c r="P789" s="42"/>
      <c r="Q789" s="42"/>
      <c r="R789" s="41"/>
      <c r="S789" s="41"/>
      <c r="T789" s="41"/>
    </row>
    <row r="790" spans="5:20">
      <c r="E790" s="39"/>
      <c r="F790" s="41"/>
      <c r="J790" s="41"/>
      <c r="N790" s="42"/>
      <c r="O790" s="42"/>
      <c r="P790" s="42"/>
      <c r="Q790" s="42"/>
      <c r="R790" s="41"/>
      <c r="S790" s="41"/>
      <c r="T790" s="41"/>
    </row>
    <row r="791" spans="5:20">
      <c r="E791" s="39"/>
      <c r="F791" s="41"/>
      <c r="J791" s="41"/>
      <c r="N791" s="42"/>
      <c r="O791" s="42"/>
      <c r="P791" s="42"/>
      <c r="Q791" s="42"/>
      <c r="R791" s="41"/>
      <c r="S791" s="41"/>
      <c r="T791" s="41"/>
    </row>
    <row r="792" spans="5:20">
      <c r="E792" s="39"/>
      <c r="F792" s="41"/>
      <c r="J792" s="41"/>
      <c r="N792" s="42"/>
      <c r="O792" s="42"/>
      <c r="P792" s="42"/>
      <c r="Q792" s="42"/>
      <c r="R792" s="41"/>
      <c r="S792" s="41"/>
      <c r="T792" s="41"/>
    </row>
    <row r="793" spans="5:20">
      <c r="E793" s="39"/>
      <c r="F793" s="41"/>
      <c r="J793" s="41"/>
      <c r="N793" s="42"/>
      <c r="O793" s="42"/>
      <c r="P793" s="42"/>
      <c r="Q793" s="42"/>
      <c r="R793" s="41"/>
      <c r="S793" s="41"/>
      <c r="T793" s="41"/>
    </row>
    <row r="794" spans="5:20">
      <c r="E794" s="39"/>
      <c r="F794" s="41"/>
      <c r="J794" s="41"/>
      <c r="N794" s="42"/>
      <c r="O794" s="42"/>
      <c r="P794" s="42"/>
      <c r="Q794" s="42"/>
      <c r="R794" s="41"/>
      <c r="S794" s="41"/>
      <c r="T794" s="41"/>
    </row>
    <row r="795" spans="5:20">
      <c r="E795" s="39"/>
      <c r="F795" s="41"/>
      <c r="J795" s="41"/>
      <c r="N795" s="42"/>
      <c r="O795" s="42"/>
      <c r="P795" s="42"/>
      <c r="Q795" s="42"/>
      <c r="R795" s="41"/>
      <c r="S795" s="41"/>
      <c r="T795" s="41"/>
    </row>
    <row r="796" spans="5:20">
      <c r="E796" s="39"/>
      <c r="F796" s="41"/>
      <c r="J796" s="41"/>
      <c r="N796" s="42"/>
      <c r="O796" s="42"/>
      <c r="P796" s="42"/>
      <c r="Q796" s="42"/>
      <c r="R796" s="41"/>
      <c r="S796" s="41"/>
      <c r="T796" s="41"/>
    </row>
    <row r="797" spans="5:20">
      <c r="E797" s="39"/>
      <c r="F797" s="41"/>
      <c r="J797" s="41"/>
      <c r="N797" s="42"/>
      <c r="O797" s="42"/>
      <c r="P797" s="42"/>
      <c r="Q797" s="42"/>
      <c r="R797" s="41"/>
      <c r="S797" s="41"/>
      <c r="T797" s="41"/>
    </row>
    <row r="798" spans="5:20">
      <c r="E798" s="39"/>
      <c r="F798" s="41"/>
      <c r="J798" s="41"/>
      <c r="N798" s="42"/>
      <c r="O798" s="42"/>
      <c r="P798" s="42"/>
      <c r="Q798" s="42"/>
      <c r="R798" s="41"/>
      <c r="S798" s="41"/>
      <c r="T798" s="41"/>
    </row>
    <row r="799" spans="5:20">
      <c r="E799" s="39"/>
      <c r="F799" s="41"/>
      <c r="J799" s="41"/>
      <c r="N799" s="42"/>
      <c r="O799" s="42"/>
      <c r="P799" s="42"/>
      <c r="Q799" s="42"/>
      <c r="R799" s="41"/>
      <c r="S799" s="41"/>
      <c r="T799" s="41"/>
    </row>
    <row r="800" spans="5:20">
      <c r="E800" s="39"/>
      <c r="F800" s="41"/>
      <c r="J800" s="41"/>
      <c r="N800" s="42"/>
      <c r="O800" s="42"/>
      <c r="P800" s="42"/>
      <c r="Q800" s="42"/>
      <c r="R800" s="41"/>
      <c r="S800" s="41"/>
      <c r="T800" s="41"/>
    </row>
    <row r="801" spans="5:20">
      <c r="E801" s="39"/>
      <c r="F801" s="41"/>
      <c r="J801" s="41"/>
      <c r="N801" s="42"/>
      <c r="O801" s="42"/>
      <c r="P801" s="42"/>
      <c r="Q801" s="42"/>
      <c r="R801" s="41"/>
      <c r="S801" s="41"/>
      <c r="T801" s="41"/>
    </row>
    <row r="802" spans="5:20">
      <c r="E802" s="39"/>
      <c r="F802" s="41"/>
      <c r="J802" s="41"/>
      <c r="N802" s="42"/>
      <c r="O802" s="42"/>
      <c r="P802" s="42"/>
      <c r="Q802" s="42"/>
      <c r="R802" s="41"/>
      <c r="S802" s="41"/>
      <c r="T802" s="41"/>
    </row>
    <row r="803" spans="5:20">
      <c r="E803" s="39"/>
      <c r="F803" s="41"/>
      <c r="J803" s="41"/>
      <c r="N803" s="42"/>
      <c r="O803" s="42"/>
      <c r="P803" s="42"/>
      <c r="Q803" s="42"/>
      <c r="R803" s="41"/>
      <c r="S803" s="41"/>
      <c r="T803" s="41"/>
    </row>
    <row r="804" spans="5:20">
      <c r="E804" s="39"/>
      <c r="F804" s="41"/>
      <c r="J804" s="41"/>
      <c r="N804" s="42"/>
      <c r="O804" s="42"/>
      <c r="P804" s="42"/>
      <c r="Q804" s="42"/>
      <c r="R804" s="41"/>
      <c r="S804" s="41"/>
      <c r="T804" s="41"/>
    </row>
    <row r="805" spans="5:20">
      <c r="E805" s="39"/>
      <c r="F805" s="41"/>
      <c r="J805" s="41"/>
      <c r="N805" s="42"/>
      <c r="O805" s="42"/>
      <c r="P805" s="42"/>
      <c r="Q805" s="42"/>
      <c r="R805" s="41"/>
      <c r="S805" s="41"/>
      <c r="T805" s="41"/>
    </row>
    <row r="806" spans="5:20">
      <c r="E806" s="39"/>
      <c r="F806" s="41"/>
      <c r="J806" s="41"/>
      <c r="N806" s="42"/>
      <c r="O806" s="42"/>
      <c r="P806" s="42"/>
      <c r="Q806" s="42"/>
      <c r="R806" s="41"/>
      <c r="S806" s="41"/>
      <c r="T806" s="41"/>
    </row>
    <row r="807" spans="5:20">
      <c r="E807" s="39"/>
      <c r="F807" s="41"/>
      <c r="J807" s="41"/>
      <c r="N807" s="42"/>
      <c r="O807" s="42"/>
      <c r="P807" s="42"/>
      <c r="Q807" s="42"/>
      <c r="R807" s="41"/>
      <c r="S807" s="41"/>
      <c r="T807" s="41"/>
    </row>
    <row r="808" spans="5:20">
      <c r="E808" s="39"/>
      <c r="F808" s="41"/>
      <c r="J808" s="41"/>
      <c r="N808" s="42"/>
      <c r="O808" s="42"/>
      <c r="P808" s="42"/>
      <c r="Q808" s="42"/>
      <c r="R808" s="41"/>
      <c r="S808" s="41"/>
      <c r="T808" s="41"/>
    </row>
    <row r="809" spans="5:20">
      <c r="E809" s="39"/>
      <c r="F809" s="41"/>
      <c r="J809" s="41"/>
      <c r="N809" s="42"/>
      <c r="O809" s="42"/>
      <c r="P809" s="42"/>
      <c r="Q809" s="42"/>
      <c r="R809" s="41"/>
      <c r="S809" s="41"/>
      <c r="T809" s="41"/>
    </row>
    <row r="810" spans="5:20">
      <c r="E810" s="39"/>
      <c r="F810" s="41"/>
      <c r="J810" s="41"/>
      <c r="N810" s="42"/>
      <c r="O810" s="42"/>
      <c r="P810" s="42"/>
      <c r="Q810" s="42"/>
      <c r="R810" s="41"/>
      <c r="S810" s="41"/>
      <c r="T810" s="41"/>
    </row>
    <row r="811" spans="5:20">
      <c r="E811" s="39"/>
      <c r="F811" s="41"/>
      <c r="J811" s="41"/>
      <c r="N811" s="42"/>
      <c r="O811" s="42"/>
      <c r="P811" s="42"/>
      <c r="Q811" s="42"/>
      <c r="R811" s="41"/>
      <c r="S811" s="41"/>
      <c r="T811" s="41"/>
    </row>
    <row r="812" spans="5:20">
      <c r="E812" s="39"/>
      <c r="F812" s="41"/>
      <c r="J812" s="41"/>
      <c r="N812" s="42"/>
      <c r="O812" s="42"/>
      <c r="P812" s="42"/>
      <c r="Q812" s="42"/>
      <c r="R812" s="41"/>
      <c r="S812" s="41"/>
      <c r="T812" s="41"/>
    </row>
    <row r="813" spans="5:20">
      <c r="E813" s="39"/>
      <c r="F813" s="41"/>
      <c r="J813" s="41"/>
      <c r="N813" s="42"/>
      <c r="O813" s="42"/>
      <c r="P813" s="42"/>
      <c r="Q813" s="42"/>
      <c r="R813" s="41"/>
      <c r="S813" s="41"/>
      <c r="T813" s="41"/>
    </row>
    <row r="814" spans="5:20">
      <c r="E814" s="39"/>
      <c r="F814" s="41"/>
      <c r="J814" s="41"/>
      <c r="N814" s="42"/>
      <c r="O814" s="42"/>
      <c r="P814" s="42"/>
      <c r="Q814" s="42"/>
      <c r="R814" s="41"/>
      <c r="S814" s="41"/>
      <c r="T814" s="41"/>
    </row>
    <row r="815" spans="5:20">
      <c r="E815" s="39"/>
      <c r="F815" s="41"/>
      <c r="J815" s="41"/>
      <c r="N815" s="42"/>
      <c r="O815" s="42"/>
      <c r="P815" s="42"/>
      <c r="Q815" s="42"/>
      <c r="R815" s="41"/>
      <c r="S815" s="41"/>
      <c r="T815" s="41"/>
    </row>
    <row r="816" spans="5:20">
      <c r="E816" s="39"/>
      <c r="F816" s="41"/>
      <c r="J816" s="41"/>
      <c r="N816" s="42"/>
      <c r="O816" s="42"/>
      <c r="P816" s="42"/>
      <c r="Q816" s="42"/>
      <c r="R816" s="41"/>
      <c r="S816" s="41"/>
      <c r="T816" s="41"/>
    </row>
    <row r="817" spans="5:20">
      <c r="E817" s="39"/>
      <c r="F817" s="41"/>
      <c r="J817" s="41"/>
      <c r="N817" s="42"/>
      <c r="O817" s="42"/>
      <c r="P817" s="42"/>
      <c r="Q817" s="42"/>
      <c r="R817" s="41"/>
      <c r="S817" s="41"/>
      <c r="T817" s="41"/>
    </row>
    <row r="818" spans="5:20">
      <c r="E818" s="39"/>
      <c r="F818" s="41"/>
      <c r="J818" s="41"/>
      <c r="N818" s="42"/>
      <c r="O818" s="42"/>
      <c r="P818" s="42"/>
      <c r="Q818" s="42"/>
      <c r="R818" s="41"/>
      <c r="S818" s="41"/>
      <c r="T818" s="41"/>
    </row>
    <row r="819" spans="5:20">
      <c r="E819" s="39"/>
      <c r="F819" s="41"/>
      <c r="J819" s="41"/>
      <c r="N819" s="42"/>
      <c r="O819" s="42"/>
      <c r="P819" s="42"/>
      <c r="Q819" s="42"/>
      <c r="R819" s="41"/>
      <c r="S819" s="41"/>
      <c r="T819" s="41"/>
    </row>
    <row r="820" spans="5:20">
      <c r="E820" s="39"/>
      <c r="F820" s="41"/>
      <c r="J820" s="41"/>
      <c r="N820" s="42"/>
      <c r="O820" s="42"/>
      <c r="P820" s="42"/>
      <c r="Q820" s="42"/>
      <c r="R820" s="41"/>
      <c r="S820" s="41"/>
      <c r="T820" s="41"/>
    </row>
    <row r="821" spans="5:20">
      <c r="E821" s="39"/>
      <c r="F821" s="41"/>
      <c r="J821" s="41"/>
      <c r="N821" s="42"/>
      <c r="O821" s="42"/>
      <c r="P821" s="42"/>
      <c r="Q821" s="42"/>
      <c r="R821" s="41"/>
      <c r="S821" s="41"/>
      <c r="T821" s="41"/>
    </row>
    <row r="822" spans="5:20">
      <c r="E822" s="39"/>
      <c r="F822" s="41"/>
      <c r="J822" s="41"/>
      <c r="N822" s="42"/>
      <c r="O822" s="42"/>
      <c r="P822" s="42"/>
      <c r="Q822" s="42"/>
      <c r="R822" s="41"/>
      <c r="S822" s="41"/>
      <c r="T822" s="41"/>
    </row>
    <row r="823" spans="5:20">
      <c r="E823" s="39"/>
      <c r="F823" s="41"/>
      <c r="J823" s="41"/>
      <c r="N823" s="42"/>
      <c r="O823" s="42"/>
      <c r="P823" s="42"/>
      <c r="Q823" s="42"/>
      <c r="R823" s="41"/>
      <c r="S823" s="41"/>
      <c r="T823" s="41"/>
    </row>
    <row r="824" spans="5:20">
      <c r="E824" s="39"/>
      <c r="F824" s="41"/>
      <c r="J824" s="41"/>
      <c r="N824" s="42"/>
      <c r="O824" s="42"/>
      <c r="P824" s="42"/>
      <c r="Q824" s="42"/>
      <c r="R824" s="41"/>
      <c r="S824" s="41"/>
      <c r="T824" s="41"/>
    </row>
    <row r="825" spans="5:20">
      <c r="E825" s="39"/>
      <c r="F825" s="41"/>
      <c r="J825" s="41"/>
      <c r="N825" s="42"/>
      <c r="O825" s="42"/>
      <c r="P825" s="42"/>
      <c r="Q825" s="42"/>
      <c r="R825" s="41"/>
      <c r="S825" s="41"/>
      <c r="T825" s="41"/>
    </row>
    <row r="826" spans="5:20">
      <c r="E826" s="39"/>
      <c r="F826" s="41"/>
      <c r="J826" s="41"/>
      <c r="N826" s="42"/>
      <c r="O826" s="42"/>
      <c r="P826" s="42"/>
      <c r="Q826" s="42"/>
      <c r="R826" s="41"/>
      <c r="S826" s="41"/>
      <c r="T826" s="41"/>
    </row>
    <row r="827" spans="5:20">
      <c r="E827" s="39"/>
      <c r="F827" s="41"/>
      <c r="J827" s="41"/>
      <c r="N827" s="42"/>
      <c r="O827" s="42"/>
      <c r="P827" s="42"/>
      <c r="Q827" s="42"/>
      <c r="R827" s="41"/>
      <c r="S827" s="41"/>
      <c r="T827" s="41"/>
    </row>
    <row r="828" spans="5:20">
      <c r="E828" s="39"/>
      <c r="F828" s="41"/>
      <c r="J828" s="41"/>
      <c r="N828" s="42"/>
      <c r="O828" s="42"/>
      <c r="P828" s="42"/>
      <c r="Q828" s="42"/>
      <c r="R828" s="41"/>
      <c r="S828" s="41"/>
      <c r="T828" s="41"/>
    </row>
    <row r="829" spans="5:20">
      <c r="E829" s="39"/>
      <c r="F829" s="41"/>
      <c r="J829" s="41"/>
      <c r="N829" s="42"/>
      <c r="O829" s="42"/>
      <c r="P829" s="42"/>
      <c r="Q829" s="42"/>
      <c r="R829" s="41"/>
      <c r="S829" s="41"/>
      <c r="T829" s="41"/>
    </row>
    <row r="830" spans="5:20">
      <c r="E830" s="39"/>
      <c r="F830" s="41"/>
      <c r="J830" s="41"/>
      <c r="N830" s="42"/>
      <c r="O830" s="42"/>
      <c r="P830" s="42"/>
      <c r="Q830" s="42"/>
      <c r="R830" s="41"/>
      <c r="S830" s="41"/>
      <c r="T830" s="41"/>
    </row>
    <row r="831" spans="5:20">
      <c r="E831" s="39"/>
      <c r="F831" s="41"/>
      <c r="J831" s="41"/>
      <c r="N831" s="42"/>
      <c r="O831" s="42"/>
      <c r="P831" s="42"/>
      <c r="Q831" s="42"/>
      <c r="R831" s="41"/>
      <c r="S831" s="41"/>
      <c r="T831" s="41"/>
    </row>
    <row r="832" spans="5:20">
      <c r="E832" s="39"/>
      <c r="F832" s="41"/>
      <c r="J832" s="41"/>
      <c r="N832" s="42"/>
      <c r="O832" s="42"/>
      <c r="P832" s="42"/>
      <c r="Q832" s="42"/>
      <c r="R832" s="41"/>
      <c r="S832" s="41"/>
      <c r="T832" s="41"/>
    </row>
    <row r="833" spans="5:20">
      <c r="E833" s="39"/>
      <c r="F833" s="41"/>
      <c r="J833" s="41"/>
      <c r="N833" s="42"/>
      <c r="O833" s="42"/>
      <c r="P833" s="42"/>
      <c r="Q833" s="42"/>
      <c r="R833" s="41"/>
      <c r="S833" s="41"/>
      <c r="T833" s="41"/>
    </row>
    <row r="834" spans="5:20">
      <c r="E834" s="39"/>
      <c r="F834" s="41"/>
      <c r="J834" s="41"/>
      <c r="N834" s="42"/>
      <c r="O834" s="42"/>
      <c r="P834" s="42"/>
      <c r="Q834" s="42"/>
      <c r="R834" s="41"/>
      <c r="S834" s="41"/>
      <c r="T834" s="41"/>
    </row>
    <row r="835" spans="5:20">
      <c r="E835" s="39"/>
      <c r="F835" s="41"/>
      <c r="J835" s="41"/>
      <c r="N835" s="42"/>
      <c r="O835" s="42"/>
      <c r="P835" s="42"/>
      <c r="Q835" s="42"/>
      <c r="R835" s="41"/>
      <c r="S835" s="41"/>
      <c r="T835" s="41"/>
    </row>
    <row r="836" spans="5:20">
      <c r="E836" s="39"/>
      <c r="F836" s="41"/>
      <c r="J836" s="41"/>
      <c r="N836" s="42"/>
      <c r="O836" s="42"/>
      <c r="P836" s="42"/>
      <c r="Q836" s="42"/>
      <c r="R836" s="41"/>
      <c r="S836" s="41"/>
      <c r="T836" s="41"/>
    </row>
    <row r="837" spans="5:20">
      <c r="E837" s="39"/>
      <c r="F837" s="41"/>
      <c r="J837" s="41"/>
      <c r="N837" s="42"/>
      <c r="O837" s="42"/>
      <c r="P837" s="42"/>
      <c r="Q837" s="42"/>
      <c r="R837" s="41"/>
      <c r="S837" s="41"/>
      <c r="T837" s="41"/>
    </row>
    <row r="838" spans="5:20">
      <c r="E838" s="39"/>
      <c r="F838" s="41"/>
      <c r="J838" s="41"/>
      <c r="N838" s="42"/>
      <c r="O838" s="42"/>
      <c r="P838" s="42"/>
      <c r="Q838" s="42"/>
      <c r="R838" s="41"/>
      <c r="S838" s="41"/>
      <c r="T838" s="41"/>
    </row>
    <row r="839" spans="5:20">
      <c r="E839" s="39"/>
      <c r="F839" s="41"/>
      <c r="J839" s="41"/>
      <c r="N839" s="42"/>
      <c r="O839" s="42"/>
      <c r="P839" s="42"/>
      <c r="Q839" s="42"/>
      <c r="R839" s="41"/>
      <c r="S839" s="41"/>
      <c r="T839" s="41"/>
    </row>
    <row r="840" spans="5:20">
      <c r="E840" s="39"/>
      <c r="F840" s="41"/>
      <c r="J840" s="41"/>
      <c r="N840" s="42"/>
      <c r="O840" s="42"/>
      <c r="P840" s="42"/>
      <c r="Q840" s="42"/>
      <c r="R840" s="41"/>
      <c r="S840" s="41"/>
      <c r="T840" s="41"/>
    </row>
    <row r="841" spans="5:20">
      <c r="E841" s="39"/>
      <c r="F841" s="41"/>
      <c r="J841" s="41"/>
      <c r="N841" s="42"/>
      <c r="O841" s="42"/>
      <c r="P841" s="42"/>
      <c r="Q841" s="42"/>
      <c r="R841" s="41"/>
      <c r="S841" s="41"/>
      <c r="T841" s="41"/>
    </row>
    <row r="842" spans="5:20">
      <c r="E842" s="39"/>
      <c r="F842" s="41"/>
      <c r="J842" s="41"/>
      <c r="N842" s="42"/>
      <c r="O842" s="42"/>
      <c r="P842" s="42"/>
      <c r="Q842" s="42"/>
      <c r="R842" s="41"/>
      <c r="S842" s="41"/>
      <c r="T842" s="41"/>
    </row>
    <row r="843" spans="5:20">
      <c r="E843" s="39"/>
      <c r="F843" s="41"/>
      <c r="J843" s="41"/>
      <c r="N843" s="42"/>
      <c r="O843" s="42"/>
      <c r="P843" s="42"/>
      <c r="Q843" s="42"/>
      <c r="R843" s="41"/>
      <c r="S843" s="41"/>
      <c r="T843" s="41"/>
    </row>
    <row r="844" spans="5:20">
      <c r="E844" s="39"/>
      <c r="F844" s="41"/>
      <c r="J844" s="41"/>
      <c r="N844" s="42"/>
      <c r="O844" s="42"/>
      <c r="P844" s="42"/>
      <c r="Q844" s="42"/>
      <c r="R844" s="41"/>
      <c r="S844" s="41"/>
      <c r="T844" s="41"/>
    </row>
    <row r="845" spans="5:20">
      <c r="E845" s="39"/>
      <c r="F845" s="41"/>
      <c r="J845" s="41"/>
      <c r="N845" s="42"/>
      <c r="O845" s="42"/>
      <c r="P845" s="42"/>
      <c r="Q845" s="42"/>
      <c r="R845" s="41"/>
      <c r="S845" s="41"/>
      <c r="T845" s="41"/>
    </row>
    <row r="846" spans="5:20">
      <c r="E846" s="39"/>
      <c r="F846" s="41"/>
      <c r="J846" s="41"/>
      <c r="N846" s="42"/>
      <c r="O846" s="42"/>
      <c r="P846" s="42"/>
      <c r="Q846" s="42"/>
      <c r="R846" s="41"/>
      <c r="S846" s="41"/>
      <c r="T846" s="41"/>
    </row>
    <row r="847" spans="5:20">
      <c r="E847" s="39"/>
      <c r="F847" s="41"/>
      <c r="J847" s="41"/>
      <c r="N847" s="42"/>
      <c r="O847" s="42"/>
      <c r="P847" s="42"/>
      <c r="Q847" s="42"/>
      <c r="R847" s="41"/>
      <c r="S847" s="41"/>
      <c r="T847" s="41"/>
    </row>
    <row r="848" spans="5:20">
      <c r="E848" s="39"/>
      <c r="F848" s="41"/>
      <c r="J848" s="41"/>
      <c r="N848" s="42"/>
      <c r="O848" s="42"/>
      <c r="P848" s="42"/>
      <c r="Q848" s="42"/>
      <c r="R848" s="41"/>
      <c r="S848" s="41"/>
      <c r="T848" s="41"/>
    </row>
    <row r="849" spans="5:20">
      <c r="E849" s="39"/>
      <c r="F849" s="41"/>
      <c r="J849" s="41"/>
      <c r="N849" s="42"/>
      <c r="O849" s="42"/>
      <c r="P849" s="42"/>
      <c r="Q849" s="42"/>
      <c r="R849" s="41"/>
      <c r="S849" s="41"/>
      <c r="T849" s="41"/>
    </row>
    <row r="850" spans="5:20">
      <c r="E850" s="39"/>
      <c r="F850" s="41"/>
      <c r="J850" s="41"/>
      <c r="N850" s="42"/>
      <c r="O850" s="42"/>
      <c r="P850" s="42"/>
      <c r="Q850" s="42"/>
      <c r="R850" s="41"/>
      <c r="S850" s="41"/>
      <c r="T850" s="41"/>
    </row>
    <row r="851" spans="5:20">
      <c r="E851" s="39"/>
      <c r="F851" s="41"/>
      <c r="J851" s="41"/>
      <c r="N851" s="42"/>
      <c r="O851" s="42"/>
      <c r="P851" s="42"/>
      <c r="Q851" s="42"/>
      <c r="R851" s="41"/>
      <c r="S851" s="41"/>
      <c r="T851" s="41"/>
    </row>
    <row r="852" spans="5:20">
      <c r="E852" s="39"/>
      <c r="F852" s="41"/>
      <c r="J852" s="41"/>
      <c r="N852" s="42"/>
      <c r="O852" s="42"/>
      <c r="P852" s="42"/>
      <c r="Q852" s="42"/>
      <c r="R852" s="41"/>
      <c r="S852" s="41"/>
      <c r="T852" s="41"/>
    </row>
    <row r="853" spans="5:20">
      <c r="N853" s="40"/>
      <c r="O853" s="40"/>
      <c r="P853" s="40"/>
      <c r="Q853" s="40"/>
      <c r="R853" s="41"/>
      <c r="S853" s="41"/>
      <c r="T853" s="41"/>
    </row>
    <row r="854" spans="5:20">
      <c r="N854" s="40"/>
      <c r="O854" s="40"/>
      <c r="P854" s="40"/>
      <c r="Q854" s="40"/>
      <c r="R854" s="41"/>
      <c r="S854" s="41"/>
      <c r="T854" s="41"/>
    </row>
    <row r="855" spans="5:20">
      <c r="N855" s="40"/>
      <c r="O855" s="40"/>
      <c r="P855" s="40"/>
      <c r="Q855" s="40"/>
      <c r="R855" s="41"/>
      <c r="S855" s="41"/>
      <c r="T855" s="41"/>
    </row>
    <row r="856" spans="5:20">
      <c r="N856" s="40"/>
      <c r="O856" s="40"/>
      <c r="P856" s="40"/>
      <c r="Q856" s="40"/>
      <c r="R856" s="41"/>
      <c r="S856" s="41"/>
      <c r="T856" s="41"/>
    </row>
    <row r="857" spans="5:20">
      <c r="N857" s="40"/>
      <c r="O857" s="40"/>
      <c r="P857" s="40"/>
      <c r="Q857" s="40"/>
      <c r="R857" s="41"/>
      <c r="S857" s="41"/>
      <c r="T857" s="41"/>
    </row>
    <row r="858" spans="5:20">
      <c r="N858" s="40"/>
      <c r="O858" s="40"/>
      <c r="P858" s="40"/>
      <c r="Q858" s="40"/>
      <c r="R858" s="41"/>
      <c r="S858" s="41"/>
      <c r="T858" s="41"/>
    </row>
    <row r="859" spans="5:20">
      <c r="N859" s="40"/>
      <c r="O859" s="40"/>
      <c r="P859" s="40"/>
      <c r="Q859" s="40"/>
      <c r="R859" s="41"/>
      <c r="S859" s="41"/>
      <c r="T859" s="41"/>
    </row>
    <row r="860" spans="5:20">
      <c r="N860" s="40"/>
      <c r="O860" s="40"/>
      <c r="P860" s="40"/>
      <c r="Q860" s="40"/>
      <c r="R860" s="41"/>
      <c r="S860" s="41"/>
      <c r="T860" s="41"/>
    </row>
    <row r="861" spans="5:20">
      <c r="N861" s="40"/>
      <c r="O861" s="40"/>
      <c r="P861" s="40"/>
      <c r="Q861" s="40"/>
      <c r="R861" s="41"/>
      <c r="S861" s="41"/>
      <c r="T861" s="41"/>
    </row>
    <row r="862" spans="5:20">
      <c r="N862" s="40"/>
      <c r="O862" s="40"/>
      <c r="P862" s="40"/>
      <c r="Q862" s="40"/>
      <c r="R862" s="41"/>
      <c r="S862" s="41"/>
      <c r="T862" s="41"/>
    </row>
    <row r="863" spans="5:20">
      <c r="N863" s="40"/>
      <c r="O863" s="40"/>
      <c r="P863" s="40"/>
      <c r="Q863" s="40"/>
      <c r="R863" s="41"/>
      <c r="S863" s="41"/>
      <c r="T863" s="41"/>
    </row>
    <row r="864" spans="5:20">
      <c r="N864" s="40"/>
      <c r="O864" s="40"/>
      <c r="P864" s="40"/>
      <c r="Q864" s="40"/>
      <c r="R864" s="41"/>
      <c r="S864" s="41"/>
      <c r="T864" s="41"/>
    </row>
    <row r="865" spans="14:20">
      <c r="N865" s="40"/>
      <c r="O865" s="40"/>
      <c r="P865" s="40"/>
      <c r="Q865" s="40"/>
      <c r="R865" s="41"/>
      <c r="S865" s="41"/>
      <c r="T865" s="41"/>
    </row>
    <row r="866" spans="14:20">
      <c r="N866" s="40"/>
      <c r="O866" s="40"/>
      <c r="P866" s="40"/>
      <c r="Q866" s="40"/>
      <c r="R866" s="41"/>
      <c r="S866" s="41"/>
      <c r="T866" s="41"/>
    </row>
    <row r="867" spans="14:20">
      <c r="N867" s="40"/>
      <c r="O867" s="40"/>
      <c r="P867" s="40"/>
      <c r="Q867" s="40"/>
      <c r="R867" s="41"/>
      <c r="S867" s="41"/>
      <c r="T867" s="41"/>
    </row>
    <row r="868" spans="14:20">
      <c r="N868" s="40"/>
      <c r="O868" s="40"/>
      <c r="P868" s="40"/>
      <c r="Q868" s="40"/>
      <c r="R868" s="41"/>
      <c r="S868" s="41"/>
      <c r="T868" s="41"/>
    </row>
    <row r="869" spans="14:20">
      <c r="N869" s="40"/>
      <c r="O869" s="40"/>
      <c r="P869" s="40"/>
      <c r="Q869" s="40"/>
      <c r="R869" s="41"/>
      <c r="S869" s="41"/>
      <c r="T869" s="41"/>
    </row>
    <row r="870" spans="14:20">
      <c r="N870" s="40"/>
      <c r="O870" s="40"/>
      <c r="P870" s="40"/>
      <c r="Q870" s="40"/>
      <c r="R870" s="41"/>
      <c r="S870" s="41"/>
      <c r="T870" s="41"/>
    </row>
    <row r="871" spans="14:20">
      <c r="N871" s="40"/>
      <c r="O871" s="40"/>
      <c r="P871" s="40"/>
      <c r="Q871" s="40"/>
      <c r="R871" s="41"/>
      <c r="S871" s="41"/>
      <c r="T871" s="41"/>
    </row>
    <row r="872" spans="14:20">
      <c r="N872" s="40"/>
      <c r="O872" s="40"/>
      <c r="P872" s="40"/>
      <c r="Q872" s="40"/>
      <c r="R872" s="41"/>
      <c r="S872" s="41"/>
      <c r="T872" s="41"/>
    </row>
    <row r="873" spans="14:20">
      <c r="N873" s="40"/>
      <c r="O873" s="40"/>
      <c r="P873" s="40"/>
      <c r="Q873" s="40"/>
      <c r="R873" s="41"/>
      <c r="S873" s="41"/>
      <c r="T873" s="41"/>
    </row>
    <row r="874" spans="14:20">
      <c r="N874" s="40"/>
      <c r="O874" s="40"/>
      <c r="P874" s="40"/>
      <c r="Q874" s="40"/>
      <c r="R874" s="41"/>
      <c r="S874" s="41"/>
      <c r="T874" s="41"/>
    </row>
    <row r="875" spans="14:20">
      <c r="N875" s="40"/>
      <c r="O875" s="40"/>
      <c r="P875" s="40"/>
      <c r="Q875" s="40"/>
      <c r="R875" s="41"/>
      <c r="S875" s="41"/>
      <c r="T875" s="41"/>
    </row>
    <row r="876" spans="14:20">
      <c r="N876" s="40"/>
      <c r="O876" s="40"/>
      <c r="P876" s="40"/>
      <c r="Q876" s="40"/>
      <c r="R876" s="41"/>
      <c r="S876" s="41"/>
      <c r="T876" s="41"/>
    </row>
    <row r="877" spans="14:20">
      <c r="N877" s="40"/>
      <c r="O877" s="40"/>
      <c r="P877" s="40"/>
      <c r="Q877" s="40"/>
      <c r="R877" s="41"/>
      <c r="S877" s="41"/>
      <c r="T877" s="41"/>
    </row>
    <row r="878" spans="14:20">
      <c r="N878" s="40"/>
      <c r="O878" s="40"/>
      <c r="P878" s="40"/>
      <c r="Q878" s="40"/>
      <c r="R878" s="41"/>
      <c r="S878" s="41"/>
      <c r="T878" s="41"/>
    </row>
    <row r="879" spans="14:20">
      <c r="N879" s="40"/>
      <c r="O879" s="40"/>
      <c r="P879" s="40"/>
      <c r="Q879" s="40"/>
      <c r="R879" s="41"/>
      <c r="S879" s="41"/>
      <c r="T879" s="41"/>
    </row>
    <row r="880" spans="14:20">
      <c r="N880" s="40"/>
      <c r="O880" s="40"/>
      <c r="P880" s="40"/>
      <c r="Q880" s="40"/>
      <c r="R880" s="41"/>
      <c r="S880" s="41"/>
      <c r="T880" s="41"/>
    </row>
    <row r="881" spans="14:20">
      <c r="N881" s="40"/>
      <c r="O881" s="40"/>
      <c r="P881" s="40"/>
      <c r="Q881" s="40"/>
      <c r="R881" s="41"/>
      <c r="S881" s="41"/>
      <c r="T881" s="41"/>
    </row>
    <row r="882" spans="14:20">
      <c r="N882" s="40"/>
      <c r="O882" s="40"/>
      <c r="P882" s="40"/>
      <c r="Q882" s="40"/>
      <c r="R882" s="41"/>
      <c r="S882" s="41"/>
      <c r="T882" s="41"/>
    </row>
    <row r="883" spans="14:20">
      <c r="N883" s="40"/>
      <c r="O883" s="40"/>
      <c r="P883" s="40"/>
      <c r="Q883" s="40"/>
      <c r="R883" s="41"/>
      <c r="S883" s="41"/>
      <c r="T883" s="41"/>
    </row>
    <row r="884" spans="14:20">
      <c r="N884" s="40"/>
      <c r="O884" s="40"/>
      <c r="P884" s="40"/>
      <c r="Q884" s="40"/>
      <c r="R884" s="41"/>
      <c r="S884" s="41"/>
      <c r="T884" s="41"/>
    </row>
    <row r="885" spans="14:20">
      <c r="N885" s="40"/>
      <c r="O885" s="40"/>
      <c r="P885" s="40"/>
      <c r="Q885" s="40"/>
      <c r="R885" s="41"/>
      <c r="S885" s="41"/>
      <c r="T885" s="41"/>
    </row>
    <row r="886" spans="14:20">
      <c r="N886" s="40"/>
      <c r="O886" s="40"/>
      <c r="P886" s="40"/>
      <c r="Q886" s="40"/>
      <c r="R886" s="41"/>
      <c r="S886" s="41"/>
      <c r="T886" s="41"/>
    </row>
    <row r="887" spans="14:20">
      <c r="N887" s="40"/>
      <c r="O887" s="40"/>
      <c r="P887" s="40"/>
      <c r="Q887" s="40"/>
      <c r="R887" s="41"/>
      <c r="S887" s="41"/>
      <c r="T887" s="41"/>
    </row>
    <row r="888" spans="14:20">
      <c r="N888" s="40"/>
      <c r="O888" s="40"/>
      <c r="P888" s="40"/>
      <c r="Q888" s="40"/>
      <c r="R888" s="41"/>
      <c r="S888" s="41"/>
      <c r="T888" s="41"/>
    </row>
    <row r="889" spans="14:20">
      <c r="N889" s="40"/>
      <c r="O889" s="40"/>
      <c r="P889" s="40"/>
      <c r="Q889" s="40"/>
      <c r="R889" s="41"/>
      <c r="S889" s="41"/>
      <c r="T889" s="41"/>
    </row>
    <row r="890" spans="14:20">
      <c r="N890" s="40"/>
      <c r="O890" s="40"/>
      <c r="P890" s="40"/>
      <c r="Q890" s="40"/>
      <c r="R890" s="41"/>
      <c r="S890" s="41"/>
      <c r="T890" s="41"/>
    </row>
    <row r="891" spans="14:20">
      <c r="N891" s="40"/>
      <c r="O891" s="40"/>
      <c r="P891" s="40"/>
      <c r="Q891" s="40"/>
      <c r="R891" s="41"/>
      <c r="S891" s="41"/>
      <c r="T891" s="41"/>
    </row>
    <row r="892" spans="14:20">
      <c r="N892" s="40"/>
      <c r="O892" s="40"/>
      <c r="P892" s="40"/>
      <c r="Q892" s="40"/>
      <c r="R892" s="41"/>
      <c r="S892" s="41"/>
      <c r="T892" s="41"/>
    </row>
    <row r="893" spans="14:20">
      <c r="N893" s="40"/>
      <c r="O893" s="40"/>
      <c r="P893" s="40"/>
      <c r="Q893" s="40"/>
      <c r="R893" s="41"/>
      <c r="S893" s="41"/>
      <c r="T893" s="41"/>
    </row>
    <row r="894" spans="14:20">
      <c r="N894" s="40"/>
      <c r="O894" s="40"/>
      <c r="P894" s="40"/>
      <c r="Q894" s="40"/>
      <c r="R894" s="41"/>
      <c r="S894" s="41"/>
      <c r="T894" s="41"/>
    </row>
    <row r="895" spans="14:20">
      <c r="N895" s="40"/>
      <c r="O895" s="40"/>
      <c r="P895" s="40"/>
      <c r="Q895" s="40"/>
      <c r="R895" s="41"/>
      <c r="S895" s="41"/>
      <c r="T895" s="41"/>
    </row>
    <row r="896" spans="14:20">
      <c r="N896" s="40"/>
      <c r="O896" s="40"/>
      <c r="P896" s="40"/>
      <c r="Q896" s="40"/>
      <c r="R896" s="41"/>
      <c r="S896" s="41"/>
      <c r="T896" s="41"/>
    </row>
    <row r="897" spans="14:20">
      <c r="N897" s="40"/>
      <c r="O897" s="40"/>
      <c r="P897" s="40"/>
      <c r="Q897" s="40"/>
      <c r="R897" s="41"/>
      <c r="S897" s="41"/>
      <c r="T897" s="41"/>
    </row>
    <row r="898" spans="14:20">
      <c r="N898" s="40"/>
      <c r="O898" s="40"/>
      <c r="P898" s="40"/>
      <c r="Q898" s="40"/>
      <c r="R898" s="41"/>
      <c r="S898" s="41"/>
      <c r="T898" s="41"/>
    </row>
    <row r="899" spans="14:20">
      <c r="N899" s="40"/>
      <c r="O899" s="40"/>
      <c r="P899" s="40"/>
      <c r="Q899" s="40"/>
      <c r="R899" s="41"/>
      <c r="S899" s="41"/>
      <c r="T899" s="41"/>
    </row>
    <row r="900" spans="14:20">
      <c r="N900" s="40"/>
      <c r="O900" s="40"/>
      <c r="P900" s="40"/>
      <c r="Q900" s="40"/>
      <c r="R900" s="41"/>
      <c r="S900" s="41"/>
      <c r="T900" s="41"/>
    </row>
    <row r="901" spans="14:20">
      <c r="N901" s="40"/>
      <c r="O901" s="40"/>
      <c r="P901" s="40"/>
      <c r="Q901" s="40"/>
      <c r="R901" s="41"/>
      <c r="S901" s="41"/>
      <c r="T901" s="41"/>
    </row>
    <row r="902" spans="14:20">
      <c r="N902" s="40"/>
      <c r="O902" s="40"/>
      <c r="P902" s="40"/>
      <c r="Q902" s="40"/>
      <c r="R902" s="41"/>
      <c r="S902" s="41"/>
      <c r="T902" s="41"/>
    </row>
    <row r="903" spans="14:20">
      <c r="N903" s="40"/>
      <c r="O903" s="40"/>
      <c r="P903" s="40"/>
      <c r="Q903" s="40"/>
      <c r="R903" s="41"/>
      <c r="S903" s="41"/>
      <c r="T903" s="41"/>
    </row>
    <row r="904" spans="14:20">
      <c r="N904" s="40"/>
      <c r="O904" s="40"/>
      <c r="P904" s="40"/>
      <c r="Q904" s="40"/>
      <c r="R904" s="41"/>
      <c r="S904" s="41"/>
      <c r="T904" s="41"/>
    </row>
    <row r="905" spans="14:20">
      <c r="N905" s="40"/>
      <c r="O905" s="40"/>
      <c r="P905" s="40"/>
      <c r="Q905" s="40"/>
      <c r="R905" s="41"/>
      <c r="S905" s="41"/>
      <c r="T905" s="41"/>
    </row>
    <row r="906" spans="14:20">
      <c r="N906" s="40"/>
      <c r="O906" s="40"/>
      <c r="P906" s="40"/>
      <c r="Q906" s="40"/>
      <c r="R906" s="41"/>
      <c r="S906" s="41"/>
      <c r="T906" s="41"/>
    </row>
    <row r="907" spans="14:20">
      <c r="N907" s="40"/>
      <c r="O907" s="40"/>
      <c r="P907" s="40"/>
      <c r="Q907" s="40"/>
      <c r="R907" s="41"/>
      <c r="S907" s="41"/>
      <c r="T907" s="41"/>
    </row>
    <row r="908" spans="14:20">
      <c r="N908" s="40"/>
      <c r="O908" s="40"/>
      <c r="P908" s="40"/>
      <c r="Q908" s="40"/>
      <c r="R908" s="41"/>
      <c r="S908" s="41"/>
      <c r="T908" s="41"/>
    </row>
    <row r="909" spans="14:20">
      <c r="N909" s="40"/>
      <c r="O909" s="40"/>
      <c r="P909" s="40"/>
      <c r="Q909" s="40"/>
      <c r="R909" s="41"/>
      <c r="S909" s="41"/>
      <c r="T909" s="41"/>
    </row>
    <row r="910" spans="14:20">
      <c r="N910" s="40"/>
      <c r="O910" s="40"/>
      <c r="P910" s="40"/>
      <c r="Q910" s="40"/>
      <c r="R910" s="41"/>
      <c r="S910" s="41"/>
      <c r="T910" s="41"/>
    </row>
    <row r="911" spans="14:20">
      <c r="N911" s="40"/>
      <c r="O911" s="40"/>
      <c r="P911" s="40"/>
      <c r="Q911" s="40"/>
      <c r="R911" s="41"/>
      <c r="S911" s="41"/>
      <c r="T911" s="41"/>
    </row>
    <row r="912" spans="14:20">
      <c r="N912" s="40"/>
      <c r="O912" s="40"/>
      <c r="P912" s="40"/>
      <c r="Q912" s="40"/>
      <c r="R912" s="41"/>
      <c r="S912" s="41"/>
      <c r="T912" s="41"/>
    </row>
    <row r="913" spans="14:20">
      <c r="N913" s="40"/>
      <c r="O913" s="40"/>
      <c r="P913" s="40"/>
      <c r="Q913" s="40"/>
      <c r="R913" s="41"/>
      <c r="S913" s="41"/>
      <c r="T913" s="41"/>
    </row>
    <row r="914" spans="14:20">
      <c r="N914" s="40"/>
      <c r="O914" s="40"/>
      <c r="P914" s="40"/>
      <c r="Q914" s="40"/>
      <c r="R914" s="41"/>
      <c r="S914" s="41"/>
      <c r="T914" s="41"/>
    </row>
    <row r="915" spans="14:20">
      <c r="N915" s="40"/>
      <c r="O915" s="40"/>
      <c r="P915" s="40"/>
      <c r="Q915" s="40"/>
      <c r="R915" s="41"/>
      <c r="S915" s="41"/>
      <c r="T915" s="41"/>
    </row>
    <row r="916" spans="14:20">
      <c r="N916" s="40"/>
      <c r="O916" s="40"/>
      <c r="P916" s="40"/>
      <c r="Q916" s="40"/>
      <c r="R916" s="41"/>
      <c r="S916" s="41"/>
      <c r="T916" s="41"/>
    </row>
    <row r="917" spans="14:20">
      <c r="N917" s="40"/>
      <c r="O917" s="40"/>
      <c r="P917" s="40"/>
      <c r="Q917" s="40"/>
      <c r="R917" s="41"/>
      <c r="S917" s="41"/>
      <c r="T917" s="41"/>
    </row>
    <row r="918" spans="14:20">
      <c r="N918" s="40"/>
      <c r="O918" s="40"/>
      <c r="P918" s="40"/>
      <c r="Q918" s="40"/>
      <c r="R918" s="41"/>
      <c r="S918" s="41"/>
      <c r="T918" s="41"/>
    </row>
    <row r="919" spans="14:20">
      <c r="N919" s="40"/>
      <c r="O919" s="40"/>
      <c r="P919" s="40"/>
      <c r="Q919" s="40"/>
      <c r="R919" s="41"/>
      <c r="S919" s="41"/>
      <c r="T919" s="41"/>
    </row>
    <row r="920" spans="14:20">
      <c r="N920" s="40"/>
      <c r="O920" s="40"/>
      <c r="P920" s="40"/>
      <c r="Q920" s="40"/>
      <c r="R920" s="41"/>
      <c r="S920" s="41"/>
      <c r="T920" s="41"/>
    </row>
    <row r="921" spans="14:20">
      <c r="N921" s="40"/>
      <c r="O921" s="40"/>
      <c r="P921" s="40"/>
      <c r="Q921" s="40"/>
      <c r="R921" s="41"/>
      <c r="S921" s="41"/>
      <c r="T921" s="41"/>
    </row>
    <row r="922" spans="14:20">
      <c r="N922" s="40"/>
      <c r="O922" s="40"/>
      <c r="P922" s="40"/>
      <c r="Q922" s="40"/>
      <c r="R922" s="41"/>
      <c r="S922" s="41"/>
      <c r="T922" s="41"/>
    </row>
    <row r="923" spans="14:20">
      <c r="N923" s="40"/>
      <c r="O923" s="40"/>
      <c r="P923" s="40"/>
      <c r="Q923" s="40"/>
      <c r="R923" s="41"/>
      <c r="S923" s="41"/>
      <c r="T923" s="41"/>
    </row>
    <row r="924" spans="14:20">
      <c r="N924" s="40"/>
      <c r="O924" s="40"/>
      <c r="P924" s="40"/>
      <c r="Q924" s="40"/>
      <c r="R924" s="41"/>
      <c r="S924" s="41"/>
      <c r="T924" s="41"/>
    </row>
    <row r="925" spans="14:20">
      <c r="N925" s="40"/>
      <c r="O925" s="40"/>
      <c r="P925" s="40"/>
      <c r="Q925" s="40"/>
      <c r="R925" s="41"/>
      <c r="S925" s="41"/>
      <c r="T925" s="41"/>
    </row>
    <row r="926" spans="14:20">
      <c r="N926" s="40"/>
      <c r="O926" s="40"/>
      <c r="P926" s="40"/>
      <c r="Q926" s="40"/>
      <c r="R926" s="41"/>
      <c r="S926" s="41"/>
      <c r="T926" s="41"/>
    </row>
    <row r="927" spans="14:20">
      <c r="N927" s="40"/>
      <c r="O927" s="40"/>
      <c r="P927" s="40"/>
      <c r="Q927" s="40"/>
      <c r="R927" s="41"/>
      <c r="S927" s="41"/>
      <c r="T927" s="41"/>
    </row>
    <row r="928" spans="14:20">
      <c r="N928" s="40"/>
      <c r="O928" s="40"/>
      <c r="P928" s="40"/>
      <c r="Q928" s="40"/>
      <c r="R928" s="41"/>
      <c r="S928" s="41"/>
      <c r="T928" s="41"/>
    </row>
    <row r="929" spans="14:20">
      <c r="N929" s="40"/>
      <c r="O929" s="40"/>
      <c r="P929" s="40"/>
      <c r="Q929" s="40"/>
      <c r="R929" s="41"/>
      <c r="S929" s="41"/>
      <c r="T929" s="41"/>
    </row>
    <row r="930" spans="14:20">
      <c r="N930" s="40"/>
      <c r="O930" s="40"/>
      <c r="P930" s="40"/>
      <c r="Q930" s="40"/>
      <c r="R930" s="41"/>
      <c r="S930" s="41"/>
      <c r="T930" s="41"/>
    </row>
    <row r="931" spans="14:20">
      <c r="N931" s="40"/>
      <c r="O931" s="40"/>
      <c r="P931" s="40"/>
      <c r="Q931" s="40"/>
      <c r="R931" s="41"/>
      <c r="S931" s="41"/>
      <c r="T931" s="41"/>
    </row>
    <row r="932" spans="14:20">
      <c r="N932" s="40"/>
      <c r="O932" s="40"/>
      <c r="P932" s="40"/>
      <c r="Q932" s="40"/>
      <c r="R932" s="41"/>
      <c r="S932" s="41"/>
      <c r="T932" s="41"/>
    </row>
    <row r="933" spans="14:20">
      <c r="N933" s="40"/>
      <c r="O933" s="40"/>
      <c r="P933" s="40"/>
      <c r="Q933" s="40"/>
      <c r="R933" s="41"/>
      <c r="S933" s="41"/>
      <c r="T933" s="41"/>
    </row>
    <row r="934" spans="14:20">
      <c r="N934" s="40"/>
      <c r="O934" s="40"/>
      <c r="P934" s="40"/>
      <c r="Q934" s="40"/>
      <c r="R934" s="41"/>
      <c r="S934" s="41"/>
      <c r="T934" s="41"/>
    </row>
    <row r="935" spans="14:20">
      <c r="N935" s="40"/>
      <c r="O935" s="40"/>
      <c r="P935" s="40"/>
      <c r="Q935" s="40"/>
      <c r="R935" s="41"/>
      <c r="S935" s="41"/>
      <c r="T935" s="41"/>
    </row>
    <row r="936" spans="14:20">
      <c r="N936" s="40"/>
      <c r="O936" s="40"/>
      <c r="P936" s="40"/>
      <c r="Q936" s="40"/>
      <c r="R936" s="41"/>
      <c r="S936" s="41"/>
      <c r="T936" s="41"/>
    </row>
    <row r="937" spans="14:20">
      <c r="N937" s="40"/>
      <c r="O937" s="40"/>
      <c r="P937" s="40"/>
      <c r="Q937" s="40"/>
      <c r="R937" s="41"/>
      <c r="S937" s="41"/>
      <c r="T937" s="41"/>
    </row>
    <row r="938" spans="14:20">
      <c r="N938" s="40"/>
      <c r="O938" s="40"/>
      <c r="P938" s="40"/>
      <c r="Q938" s="40"/>
      <c r="R938" s="41"/>
      <c r="S938" s="41"/>
      <c r="T938" s="41"/>
    </row>
    <row r="939" spans="14:20">
      <c r="N939" s="40"/>
      <c r="O939" s="40"/>
      <c r="P939" s="40"/>
      <c r="Q939" s="40"/>
      <c r="R939" s="41"/>
      <c r="S939" s="41"/>
      <c r="T939" s="41"/>
    </row>
    <row r="940" spans="14:20">
      <c r="N940" s="40"/>
      <c r="O940" s="40"/>
      <c r="P940" s="40"/>
      <c r="Q940" s="40"/>
      <c r="R940" s="41"/>
      <c r="S940" s="41"/>
      <c r="T940" s="41"/>
    </row>
    <row r="941" spans="14:20">
      <c r="N941" s="40"/>
      <c r="O941" s="40"/>
      <c r="P941" s="40"/>
      <c r="Q941" s="40"/>
      <c r="R941" s="41"/>
      <c r="S941" s="41"/>
      <c r="T941" s="41"/>
    </row>
    <row r="942" spans="14:20">
      <c r="N942" s="40"/>
      <c r="O942" s="40"/>
      <c r="P942" s="40"/>
      <c r="Q942" s="40"/>
      <c r="R942" s="41"/>
      <c r="S942" s="41"/>
      <c r="T942" s="41"/>
    </row>
    <row r="943" spans="14:20">
      <c r="N943" s="40"/>
      <c r="O943" s="40"/>
      <c r="P943" s="40"/>
      <c r="Q943" s="40"/>
      <c r="R943" s="41"/>
      <c r="S943" s="41"/>
      <c r="T943" s="41"/>
    </row>
    <row r="944" spans="14:20">
      <c r="N944" s="40"/>
      <c r="O944" s="40"/>
      <c r="P944" s="40"/>
      <c r="Q944" s="40"/>
      <c r="R944" s="41"/>
      <c r="S944" s="41"/>
      <c r="T944" s="41"/>
    </row>
    <row r="945" spans="14:20">
      <c r="N945" s="40"/>
      <c r="O945" s="40"/>
      <c r="P945" s="40"/>
      <c r="Q945" s="40"/>
      <c r="R945" s="41"/>
      <c r="S945" s="41"/>
      <c r="T945" s="41"/>
    </row>
    <row r="946" spans="14:20">
      <c r="N946" s="40"/>
      <c r="O946" s="40"/>
      <c r="P946" s="40"/>
      <c r="Q946" s="40"/>
      <c r="R946" s="41"/>
      <c r="S946" s="41"/>
      <c r="T946" s="41"/>
    </row>
    <row r="947" spans="14:20">
      <c r="N947" s="40"/>
      <c r="O947" s="40"/>
      <c r="P947" s="40"/>
      <c r="Q947" s="40"/>
      <c r="R947" s="41"/>
      <c r="S947" s="41"/>
      <c r="T947" s="41"/>
    </row>
    <row r="948" spans="14:20">
      <c r="N948" s="40"/>
      <c r="O948" s="40"/>
      <c r="P948" s="40"/>
      <c r="Q948" s="40"/>
      <c r="R948" s="41"/>
      <c r="S948" s="41"/>
      <c r="T948" s="41"/>
    </row>
    <row r="949" spans="14:20">
      <c r="N949" s="40"/>
      <c r="O949" s="40"/>
      <c r="P949" s="40"/>
      <c r="Q949" s="40"/>
      <c r="R949" s="41"/>
      <c r="S949" s="41"/>
      <c r="T949" s="41"/>
    </row>
    <row r="950" spans="14:20">
      <c r="N950" s="40"/>
      <c r="O950" s="40"/>
      <c r="P950" s="40"/>
      <c r="Q950" s="40"/>
      <c r="R950" s="41"/>
      <c r="S950" s="41"/>
      <c r="T950" s="41"/>
    </row>
    <row r="951" spans="14:20">
      <c r="N951" s="40"/>
      <c r="O951" s="40"/>
      <c r="P951" s="40"/>
      <c r="Q951" s="40"/>
      <c r="R951" s="41"/>
      <c r="S951" s="41"/>
      <c r="T951" s="41"/>
    </row>
    <row r="952" spans="14:20">
      <c r="N952" s="40"/>
      <c r="O952" s="40"/>
      <c r="P952" s="40"/>
      <c r="Q952" s="40"/>
      <c r="R952" s="41"/>
      <c r="S952" s="41"/>
      <c r="T952" s="41"/>
    </row>
    <row r="953" spans="14:20">
      <c r="N953" s="40"/>
      <c r="O953" s="40"/>
      <c r="P953" s="40"/>
      <c r="Q953" s="40"/>
      <c r="R953" s="41"/>
      <c r="S953" s="41"/>
      <c r="T953" s="41"/>
    </row>
    <row r="954" spans="14:20">
      <c r="N954" s="40"/>
      <c r="O954" s="40"/>
      <c r="P954" s="40"/>
      <c r="Q954" s="40"/>
      <c r="R954" s="41"/>
      <c r="S954" s="41"/>
      <c r="T954" s="41"/>
    </row>
    <row r="955" spans="14:20">
      <c r="N955" s="40"/>
      <c r="O955" s="40"/>
      <c r="P955" s="40"/>
      <c r="Q955" s="40"/>
      <c r="R955" s="41"/>
      <c r="S955" s="41"/>
      <c r="T955" s="41"/>
    </row>
    <row r="956" spans="14:20">
      <c r="N956" s="40"/>
      <c r="O956" s="40"/>
      <c r="P956" s="40"/>
      <c r="Q956" s="40"/>
      <c r="R956" s="41"/>
      <c r="S956" s="41"/>
      <c r="T956" s="41"/>
    </row>
    <row r="957" spans="14:20">
      <c r="N957" s="40"/>
      <c r="O957" s="40"/>
      <c r="P957" s="40"/>
      <c r="Q957" s="40"/>
      <c r="R957" s="41"/>
      <c r="S957" s="41"/>
      <c r="T957" s="41"/>
    </row>
    <row r="958" spans="14:20">
      <c r="N958" s="40"/>
      <c r="O958" s="40"/>
      <c r="P958" s="40"/>
      <c r="Q958" s="40"/>
      <c r="R958" s="41"/>
      <c r="S958" s="41"/>
      <c r="T958" s="41"/>
    </row>
    <row r="959" spans="14:20">
      <c r="N959" s="40"/>
      <c r="O959" s="40"/>
      <c r="P959" s="40"/>
      <c r="Q959" s="40"/>
      <c r="R959" s="41"/>
      <c r="S959" s="41"/>
      <c r="T959" s="41"/>
    </row>
    <row r="960" spans="14:20">
      <c r="N960" s="40"/>
      <c r="O960" s="40"/>
      <c r="P960" s="40"/>
      <c r="Q960" s="40"/>
      <c r="R960" s="41"/>
      <c r="S960" s="41"/>
      <c r="T960" s="41"/>
    </row>
    <row r="961" spans="14:20">
      <c r="N961" s="40"/>
      <c r="O961" s="40"/>
      <c r="P961" s="40"/>
      <c r="Q961" s="40"/>
      <c r="R961" s="41"/>
      <c r="S961" s="41"/>
      <c r="T961" s="41"/>
    </row>
    <row r="962" spans="14:20">
      <c r="N962" s="40"/>
      <c r="O962" s="40"/>
      <c r="P962" s="40"/>
      <c r="Q962" s="40"/>
      <c r="R962" s="41"/>
      <c r="S962" s="41"/>
      <c r="T962" s="41"/>
    </row>
    <row r="963" spans="14:20">
      <c r="N963" s="40"/>
      <c r="O963" s="40"/>
      <c r="P963" s="40"/>
      <c r="Q963" s="40"/>
      <c r="R963" s="41"/>
      <c r="S963" s="41"/>
      <c r="T963" s="41"/>
    </row>
    <row r="964" spans="14:20">
      <c r="N964" s="40"/>
      <c r="O964" s="40"/>
      <c r="P964" s="40"/>
      <c r="Q964" s="40"/>
      <c r="R964" s="41"/>
      <c r="S964" s="41"/>
      <c r="T964" s="41"/>
    </row>
    <row r="965" spans="14:20">
      <c r="N965" s="40"/>
      <c r="O965" s="40"/>
      <c r="P965" s="40"/>
      <c r="Q965" s="40"/>
      <c r="R965" s="41"/>
      <c r="S965" s="41"/>
      <c r="T965" s="41"/>
    </row>
    <row r="966" spans="14:20">
      <c r="N966" s="40"/>
      <c r="O966" s="40"/>
      <c r="P966" s="40"/>
      <c r="Q966" s="40"/>
      <c r="R966" s="41"/>
      <c r="S966" s="41"/>
      <c r="T966" s="41"/>
    </row>
    <row r="967" spans="14:20">
      <c r="N967" s="40"/>
      <c r="O967" s="40"/>
      <c r="P967" s="40"/>
      <c r="Q967" s="40"/>
      <c r="R967" s="41"/>
      <c r="S967" s="41"/>
      <c r="T967" s="41"/>
    </row>
    <row r="968" spans="14:20">
      <c r="N968" s="40"/>
      <c r="O968" s="40"/>
      <c r="P968" s="40"/>
      <c r="Q968" s="40"/>
      <c r="R968" s="41"/>
      <c r="S968" s="41"/>
      <c r="T968" s="41"/>
    </row>
    <row r="969" spans="14:20">
      <c r="N969" s="40"/>
      <c r="O969" s="40"/>
      <c r="P969" s="40"/>
      <c r="Q969" s="40"/>
      <c r="R969" s="41"/>
      <c r="S969" s="41"/>
      <c r="T969" s="41"/>
    </row>
    <row r="970" spans="14:20">
      <c r="N970" s="40"/>
      <c r="O970" s="40"/>
      <c r="P970" s="40"/>
      <c r="Q970" s="40"/>
      <c r="R970" s="41"/>
      <c r="S970" s="41"/>
      <c r="T970" s="41"/>
    </row>
    <row r="971" spans="14:20">
      <c r="N971" s="40"/>
      <c r="O971" s="40"/>
      <c r="P971" s="40"/>
      <c r="Q971" s="40"/>
      <c r="R971" s="41"/>
      <c r="S971" s="41"/>
      <c r="T971" s="41"/>
    </row>
    <row r="972" spans="14:20">
      <c r="N972" s="40"/>
      <c r="O972" s="40"/>
      <c r="P972" s="40"/>
      <c r="Q972" s="40"/>
      <c r="R972" s="41"/>
      <c r="S972" s="41"/>
      <c r="T972" s="41"/>
    </row>
    <row r="973" spans="14:20">
      <c r="N973" s="40"/>
      <c r="O973" s="40"/>
      <c r="P973" s="40"/>
      <c r="Q973" s="40"/>
      <c r="R973" s="41"/>
      <c r="S973" s="41"/>
      <c r="T973" s="41"/>
    </row>
    <row r="974" spans="14:20">
      <c r="N974" s="40"/>
      <c r="O974" s="40"/>
      <c r="P974" s="40"/>
      <c r="Q974" s="40"/>
      <c r="R974" s="41"/>
      <c r="S974" s="41"/>
      <c r="T974" s="41"/>
    </row>
    <row r="975" spans="14:20">
      <c r="N975" s="40"/>
      <c r="O975" s="40"/>
      <c r="P975" s="40"/>
      <c r="Q975" s="40"/>
      <c r="R975" s="41"/>
      <c r="S975" s="41"/>
      <c r="T975" s="41"/>
    </row>
    <row r="976" spans="14:20">
      <c r="N976" s="40"/>
      <c r="O976" s="40"/>
      <c r="P976" s="40"/>
      <c r="Q976" s="40"/>
      <c r="R976" s="41"/>
      <c r="S976" s="41"/>
      <c r="T976" s="41"/>
    </row>
    <row r="977" spans="14:20">
      <c r="N977" s="40"/>
      <c r="O977" s="40"/>
      <c r="P977" s="40"/>
      <c r="Q977" s="40"/>
      <c r="R977" s="41"/>
      <c r="S977" s="41"/>
      <c r="T977" s="41"/>
    </row>
    <row r="978" spans="14:20">
      <c r="N978" s="40"/>
      <c r="O978" s="40"/>
      <c r="P978" s="40"/>
      <c r="Q978" s="40"/>
      <c r="R978" s="41"/>
      <c r="S978" s="41"/>
      <c r="T978" s="41"/>
    </row>
    <row r="48690" spans="14:17">
      <c r="N48690" s="44"/>
      <c r="O48690" s="42"/>
      <c r="P48690" s="42"/>
      <c r="Q48690" s="42"/>
    </row>
  </sheetData>
  <sheetProtection selectLockedCells="1" sort="0" autoFilter="0"/>
  <autoFilter ref="E1:U450">
    <filterColumn colId="1">
      <filters>
        <filter val="CRIA.PERGAMINO 2DA"/>
      </filters>
    </filterColumn>
  </autoFilter>
  <dataConsolidate function="countNums"/>
  <phoneticPr fontId="1" type="noConversion"/>
  <conditionalFormatting sqref="C14:D14 C2:D10 C26:D28 C61:D71 C73:D93 C96:D114 C118:C119 C18:D24 C35:D59 C120:D450 C452:D453">
    <cfRule type="containsErrors" dxfId="20" priority="35" stopIfTrue="1">
      <formula>ISERROR(C2)</formula>
    </cfRule>
  </conditionalFormatting>
  <conditionalFormatting sqref="C11:D11">
    <cfRule type="containsErrors" dxfId="19" priority="31" stopIfTrue="1">
      <formula>ISERROR(C11)</formula>
    </cfRule>
  </conditionalFormatting>
  <conditionalFormatting sqref="C12:D12">
    <cfRule type="containsErrors" dxfId="18" priority="30" stopIfTrue="1">
      <formula>ISERROR(C12)</formula>
    </cfRule>
  </conditionalFormatting>
  <conditionalFormatting sqref="C13:D13">
    <cfRule type="containsErrors" dxfId="17" priority="28" stopIfTrue="1">
      <formula>ISERROR(C13)</formula>
    </cfRule>
  </conditionalFormatting>
  <conditionalFormatting sqref="C15:D15">
    <cfRule type="containsErrors" dxfId="16" priority="25" stopIfTrue="1">
      <formula>ISERROR(C15)</formula>
    </cfRule>
  </conditionalFormatting>
  <conditionalFormatting sqref="C16:D16">
    <cfRule type="containsErrors" dxfId="15" priority="24" stopIfTrue="1">
      <formula>ISERROR(C16)</formula>
    </cfRule>
  </conditionalFormatting>
  <conditionalFormatting sqref="C17:D17">
    <cfRule type="containsErrors" dxfId="14" priority="23" stopIfTrue="1">
      <formula>ISERROR(C17)</formula>
    </cfRule>
  </conditionalFormatting>
  <conditionalFormatting sqref="C25:D25">
    <cfRule type="containsErrors" dxfId="13" priority="21" stopIfTrue="1">
      <formula>ISERROR(C25)</formula>
    </cfRule>
  </conditionalFormatting>
  <conditionalFormatting sqref="C29:D29">
    <cfRule type="containsErrors" dxfId="12" priority="19" stopIfTrue="1">
      <formula>ISERROR(C29)</formula>
    </cfRule>
  </conditionalFormatting>
  <conditionalFormatting sqref="C30:D30">
    <cfRule type="containsErrors" dxfId="11" priority="18" stopIfTrue="1">
      <formula>ISERROR(C30)</formula>
    </cfRule>
  </conditionalFormatting>
  <conditionalFormatting sqref="C31:D32">
    <cfRule type="containsErrors" dxfId="10" priority="17" stopIfTrue="1">
      <formula>ISERROR(C31)</formula>
    </cfRule>
  </conditionalFormatting>
  <conditionalFormatting sqref="C33:D33">
    <cfRule type="containsErrors" dxfId="9" priority="16" stopIfTrue="1">
      <formula>ISERROR(C33)</formula>
    </cfRule>
  </conditionalFormatting>
  <conditionalFormatting sqref="C34:D34">
    <cfRule type="containsErrors" dxfId="8" priority="13" stopIfTrue="1">
      <formula>ISERROR(C34)</formula>
    </cfRule>
  </conditionalFormatting>
  <conditionalFormatting sqref="C60:D60">
    <cfRule type="containsErrors" dxfId="7" priority="11" stopIfTrue="1">
      <formula>ISERROR(C60)</formula>
    </cfRule>
  </conditionalFormatting>
  <conditionalFormatting sqref="C72:D72">
    <cfRule type="containsErrors" dxfId="6" priority="9" stopIfTrue="1">
      <formula>ISERROR(C72)</formula>
    </cfRule>
  </conditionalFormatting>
  <conditionalFormatting sqref="C94:D94">
    <cfRule type="containsErrors" dxfId="5" priority="6" stopIfTrue="1">
      <formula>ISERROR(C94)</formula>
    </cfRule>
  </conditionalFormatting>
  <conditionalFormatting sqref="C95:D95">
    <cfRule type="containsErrors" dxfId="4" priority="5" stopIfTrue="1">
      <formula>ISERROR(C95)</formula>
    </cfRule>
  </conditionalFormatting>
  <conditionalFormatting sqref="C115:D115">
    <cfRule type="containsErrors" dxfId="3" priority="4" stopIfTrue="1">
      <formula>ISERROR(C115)</formula>
    </cfRule>
  </conditionalFormatting>
  <conditionalFormatting sqref="C116:D116 D118">
    <cfRule type="containsErrors" dxfId="2" priority="3" stopIfTrue="1">
      <formula>ISERROR(C116)</formula>
    </cfRule>
  </conditionalFormatting>
  <conditionalFormatting sqref="C117:D117 D119">
    <cfRule type="containsErrors" dxfId="1" priority="2" stopIfTrue="1">
      <formula>ISERROR(C117)</formula>
    </cfRule>
  </conditionalFormatting>
  <conditionalFormatting sqref="C451:D451">
    <cfRule type="containsErrors" dxfId="0" priority="1" stopIfTrue="1">
      <formula>ISERROR(C451)</formula>
    </cfRule>
  </conditionalFormatting>
  <dataValidations xWindow="402" yWindow="336" count="12">
    <dataValidation type="list" allowBlank="1" showInputMessage="1" showErrorMessage="1" sqref="J454:J852">
      <formula1>Tipo_doc</formula1>
    </dataValidation>
    <dataValidation type="list" allowBlank="1" showInputMessage="1" showErrorMessage="1" errorTitle="LEER INSTRUCTIVO" error="SELECCIONE UNA OPCIÓN" sqref="L11:L12 L14 L2:L3 L5:L7 L24 L35:L38 L41:L46 L18:L21 L50:L57 L60:L852">
      <formula1>Edad</formula1>
    </dataValidation>
    <dataValidation type="list" allowBlank="1" showInputMessage="1" showErrorMessage="1" sqref="T11:T12 T26:T27 T32 T2:T3 T5:T7 T15 T29 T18:T24 T34:T852">
      <formula1>Depto</formula1>
    </dataValidation>
    <dataValidation type="list" allowBlank="1" showInputMessage="1" showErrorMessage="1" prompt="LEER INSTRUCTIVO - SELECCIONE UNA OPCIÓN" sqref="L4">
      <formula1>Edad</formula1>
    </dataValidation>
    <dataValidation type="list" allowBlank="1" showInputMessage="1" showErrorMessage="1" sqref="L8:L10 L15:L17 L22:L23 L39:L40 L58:L59 L13 L25:L34 L47:L49">
      <formula1>Edad</formula1>
    </dataValidation>
    <dataValidation type="list" allowBlank="1" showInputMessage="1" showErrorMessage="1" sqref="T8:T10 T16:T17 T28 T30:T31 T13:T14 T25 T33">
      <formula1>DEPTO_JUDICIAL</formula1>
    </dataValidation>
    <dataValidation type="list" allowBlank="1" showInputMessage="1" showErrorMessage="1" sqref="N8:N10 N39:N40 N28">
      <formula1>#REF!</formula1>
    </dataValidation>
    <dataValidation type="list" allowBlank="1" showInputMessage="1" showErrorMessage="1" errorTitle="LEER EL INSTRUCTIVO" error="SELECCIONE UNA OPCIÓN." sqref="I2:I852">
      <formula1>Género</formula1>
    </dataValidation>
    <dataValidation type="list" allowBlank="1" showInputMessage="1" showErrorMessage="1" errorTitle="LEER INSTRUCTIVO" error="SELECCIONE UNA OPCIÓN" sqref="J2:J453">
      <formula1>Tipo_doc</formula1>
    </dataValidation>
    <dataValidation type="list" allowBlank="1" showInputMessage="1" showErrorMessage="1" sqref="M2:M852">
      <formula1>Nacionalidad</formula1>
    </dataValidation>
    <dataValidation type="list" allowBlank="1" showInputMessage="1" showErrorMessage="1" sqref="F2:F852">
      <formula1>INDIRECT(E2)</formula1>
    </dataValidation>
    <dataValidation type="list" allowBlank="1" showInputMessage="1" showErrorMessage="1" sqref="E2:E852">
      <formula1>JD</formula1>
    </dataValidation>
  </dataValidations>
  <pageMargins left="0.74803149606299213" right="0.74803149606299213" top="0.46" bottom="0.98425196850393704" header="0" footer="0"/>
  <pageSetup paperSize="9" orientation="landscape" horizontalDpi="200" verticalDpi="200" r:id="rId1"/>
  <headerFooter alignWithMargins="0"/>
  <extLst>
    <ext xmlns:x14="http://schemas.microsoft.com/office/spreadsheetml/2009/9/main" uri="{CCE6A557-97BC-4b89-ADB6-D9C93CAAB3DF}">
      <x14:dataValidations xmlns:xm="http://schemas.microsoft.com/office/excel/2006/main" xWindow="402" yWindow="336" count="2">
        <x14:dataValidation type="list" allowBlank="1" showInputMessage="1" showErrorMessage="1">
          <x14:formula1>
            <xm:f>Datos!$BJ$5:$BJ$334</xm:f>
          </x14:formula1>
          <xm:sqref>N2:N3 N5:N7 N29:N38 N11:N27 N41:N453</xm:sqref>
        </x14:dataValidation>
        <x14:dataValidation type="list" allowBlank="1" showInputMessage="1" showErrorMessage="1">
          <x14:formula1>
            <xm:f>Datos!$K$26:$K$28</xm:f>
          </x14:formula1>
          <xm:sqref>C2:D453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CS1114"/>
  <sheetViews>
    <sheetView topLeftCell="A4" zoomScale="115" zoomScaleNormal="115" workbookViewId="0">
      <selection activeCell="K26" sqref="K26"/>
    </sheetView>
  </sheetViews>
  <sheetFormatPr baseColWidth="10" defaultRowHeight="12.75"/>
  <cols>
    <col min="1" max="1" width="29.42578125" style="1" bestFit="1" customWidth="1"/>
    <col min="2" max="2" width="13.28515625" style="1" customWidth="1"/>
    <col min="3" max="3" width="11.42578125" style="1"/>
    <col min="4" max="4" width="17.28515625" style="1" bestFit="1" customWidth="1"/>
    <col min="5" max="5" width="20.5703125" style="1" bestFit="1" customWidth="1"/>
    <col min="6" max="6" width="11.42578125" style="1"/>
    <col min="7" max="7" width="12.140625" style="1" customWidth="1"/>
    <col min="8" max="8" width="11.42578125" style="1"/>
    <col min="9" max="9" width="13.42578125" style="1" bestFit="1" customWidth="1"/>
    <col min="10" max="10" width="20.7109375" style="1" customWidth="1"/>
    <col min="11" max="11" width="20.140625" style="1" bestFit="1" customWidth="1"/>
    <col min="12" max="12" width="30" style="1" customWidth="1"/>
    <col min="13" max="13" width="29.5703125" style="1" bestFit="1" customWidth="1"/>
    <col min="14" max="14" width="31.28515625" style="1" bestFit="1" customWidth="1"/>
    <col min="15" max="15" width="31.140625" style="1" bestFit="1" customWidth="1"/>
    <col min="16" max="16" width="31.140625" style="1" customWidth="1"/>
    <col min="17" max="17" width="27.85546875" style="1" bestFit="1" customWidth="1"/>
    <col min="18" max="18" width="29.42578125" style="1" bestFit="1" customWidth="1"/>
    <col min="19" max="19" width="28" style="1" bestFit="1" customWidth="1"/>
    <col min="20" max="20" width="31.5703125" style="1" customWidth="1"/>
    <col min="21" max="21" width="28" style="1" bestFit="1" customWidth="1"/>
    <col min="22" max="22" width="26.5703125" style="1" bestFit="1" customWidth="1"/>
    <col min="23" max="23" width="27.42578125" style="1" bestFit="1" customWidth="1"/>
    <col min="24" max="24" width="28" style="1" bestFit="1" customWidth="1"/>
    <col min="25" max="25" width="20.5703125" style="1" bestFit="1" customWidth="1"/>
    <col min="26" max="26" width="25.5703125" style="1" bestFit="1" customWidth="1"/>
    <col min="27" max="27" width="27" style="1" bestFit="1" customWidth="1"/>
    <col min="28" max="28" width="27.5703125" style="1" bestFit="1" customWidth="1"/>
    <col min="29" max="29" width="27" style="1" bestFit="1" customWidth="1"/>
    <col min="30" max="30" width="27.42578125" style="1" bestFit="1" customWidth="1"/>
    <col min="31" max="31" width="26" style="1" bestFit="1" customWidth="1"/>
    <col min="32" max="32" width="27" style="1" bestFit="1" customWidth="1"/>
    <col min="33" max="33" width="28.7109375" style="1" bestFit="1" customWidth="1"/>
    <col min="34" max="34" width="34.140625" style="1" bestFit="1" customWidth="1"/>
    <col min="35" max="35" width="35.140625" style="1" bestFit="1" customWidth="1"/>
    <col min="36" max="36" width="28.42578125" style="1" bestFit="1" customWidth="1"/>
    <col min="37" max="37" width="29.7109375" style="1" bestFit="1" customWidth="1"/>
    <col min="38" max="38" width="28.42578125" style="1" bestFit="1" customWidth="1"/>
    <col min="39" max="39" width="29.140625" style="1" bestFit="1" customWidth="1"/>
    <col min="40" max="40" width="29" style="1" bestFit="1" customWidth="1"/>
    <col min="41" max="41" width="29.42578125" style="1" bestFit="1" customWidth="1"/>
    <col min="42" max="42" width="27" style="1" bestFit="1" customWidth="1"/>
    <col min="43" max="43" width="26.7109375" style="1" bestFit="1" customWidth="1"/>
    <col min="44" max="44" width="24.85546875" style="1" bestFit="1" customWidth="1"/>
    <col min="45" max="45" width="24.7109375" style="1" bestFit="1" customWidth="1"/>
    <col min="46" max="46" width="28.85546875" style="1" bestFit="1" customWidth="1"/>
    <col min="47" max="47" width="28" style="1" bestFit="1" customWidth="1"/>
    <col min="48" max="48" width="27.7109375" style="1" bestFit="1" customWidth="1"/>
    <col min="49" max="49" width="27.85546875" style="1" customWidth="1"/>
    <col min="50" max="50" width="25.140625" style="1" bestFit="1" customWidth="1"/>
    <col min="51" max="51" width="24.85546875" style="1" bestFit="1" customWidth="1"/>
    <col min="52" max="52" width="24.85546875" style="1" customWidth="1"/>
    <col min="53" max="53" width="25.5703125" style="1" bestFit="1" customWidth="1"/>
    <col min="54" max="54" width="37.42578125" style="1" bestFit="1" customWidth="1"/>
    <col min="55" max="55" width="36.42578125" style="1" bestFit="1" customWidth="1"/>
    <col min="56" max="56" width="24.5703125" style="1" bestFit="1" customWidth="1"/>
    <col min="57" max="57" width="29.7109375" style="1" bestFit="1" customWidth="1"/>
    <col min="58" max="58" width="25.5703125" style="1" bestFit="1" customWidth="1"/>
    <col min="59" max="60" width="11.42578125" style="1"/>
    <col min="61" max="61" width="5.42578125" style="47" bestFit="1" customWidth="1"/>
    <col min="62" max="62" width="70.5703125" style="1" bestFit="1" customWidth="1"/>
    <col min="63" max="63" width="26.140625" style="1" bestFit="1" customWidth="1"/>
    <col min="64" max="64" width="26.42578125" style="1" bestFit="1" customWidth="1"/>
    <col min="65" max="16384" width="11.42578125" style="1"/>
  </cols>
  <sheetData>
    <row r="1" spans="1:97">
      <c r="A1" s="2" t="s">
        <v>1796</v>
      </c>
    </row>
    <row r="3" spans="1:97" ht="13.5" thickBot="1"/>
    <row r="4" spans="1:97" ht="15.75" thickBot="1">
      <c r="A4" s="3" t="s">
        <v>1792</v>
      </c>
      <c r="B4" s="3" t="s">
        <v>1795</v>
      </c>
      <c r="C4" s="3" t="s">
        <v>1794</v>
      </c>
      <c r="D4" s="3" t="s">
        <v>1797</v>
      </c>
      <c r="E4" s="3" t="s">
        <v>1793</v>
      </c>
      <c r="F4" s="3" t="s">
        <v>1804</v>
      </c>
      <c r="G4" s="3" t="s">
        <v>1805</v>
      </c>
      <c r="H4" s="3" t="s">
        <v>1791</v>
      </c>
      <c r="I4" s="3" t="s">
        <v>1813</v>
      </c>
      <c r="J4" s="3" t="s">
        <v>1821</v>
      </c>
      <c r="K4" s="3" t="s">
        <v>1822</v>
      </c>
      <c r="L4" s="3" t="s">
        <v>1826</v>
      </c>
      <c r="M4" s="7" t="s">
        <v>1827</v>
      </c>
      <c r="N4" s="7" t="s">
        <v>1828</v>
      </c>
      <c r="O4" s="7" t="s">
        <v>1829</v>
      </c>
      <c r="P4" s="7" t="s">
        <v>2664</v>
      </c>
      <c r="Q4" s="7" t="s">
        <v>1830</v>
      </c>
      <c r="R4" s="7" t="s">
        <v>1831</v>
      </c>
      <c r="S4" s="7" t="s">
        <v>1832</v>
      </c>
      <c r="T4" s="9" t="s">
        <v>1835</v>
      </c>
      <c r="U4" s="10" t="s">
        <v>1839</v>
      </c>
      <c r="V4" s="10" t="s">
        <v>1838</v>
      </c>
      <c r="W4" s="10" t="s">
        <v>1837</v>
      </c>
      <c r="X4" s="10" t="s">
        <v>1836</v>
      </c>
      <c r="Y4" s="10" t="s">
        <v>1840</v>
      </c>
      <c r="Z4" s="10" t="s">
        <v>1841</v>
      </c>
      <c r="AA4" s="10" t="s">
        <v>1842</v>
      </c>
      <c r="AB4" s="10" t="s">
        <v>1843</v>
      </c>
      <c r="AC4" s="10" t="s">
        <v>1844</v>
      </c>
      <c r="AD4" s="10" t="s">
        <v>1845</v>
      </c>
      <c r="AE4" s="10" t="s">
        <v>1846</v>
      </c>
      <c r="AF4" s="10" t="s">
        <v>1847</v>
      </c>
      <c r="AG4" s="10" t="s">
        <v>1848</v>
      </c>
      <c r="AH4" s="10" t="s">
        <v>1849</v>
      </c>
      <c r="AI4" s="10" t="s">
        <v>1850</v>
      </c>
      <c r="AJ4" s="10" t="s">
        <v>1851</v>
      </c>
      <c r="AK4" s="10" t="s">
        <v>1852</v>
      </c>
      <c r="AL4" s="10" t="s">
        <v>1853</v>
      </c>
      <c r="AM4" s="10" t="s">
        <v>1854</v>
      </c>
      <c r="AN4" s="10" t="s">
        <v>1855</v>
      </c>
      <c r="AO4" s="10" t="s">
        <v>1856</v>
      </c>
      <c r="AP4" s="10" t="s">
        <v>1857</v>
      </c>
      <c r="AQ4" s="10" t="s">
        <v>1858</v>
      </c>
      <c r="AR4" s="10" t="s">
        <v>1859</v>
      </c>
      <c r="AS4" s="10" t="s">
        <v>1860</v>
      </c>
      <c r="AT4" s="10" t="s">
        <v>1861</v>
      </c>
      <c r="AU4" s="10" t="s">
        <v>1862</v>
      </c>
      <c r="AV4" s="10" t="s">
        <v>1863</v>
      </c>
      <c r="AW4" s="10" t="s">
        <v>1864</v>
      </c>
      <c r="AX4" s="10" t="s">
        <v>1865</v>
      </c>
      <c r="AY4" s="10" t="s">
        <v>1866</v>
      </c>
      <c r="AZ4" s="10" t="s">
        <v>1867</v>
      </c>
      <c r="BA4" s="10" t="s">
        <v>2630</v>
      </c>
      <c r="BB4" s="11" t="s">
        <v>1818</v>
      </c>
      <c r="BC4" s="11" t="s">
        <v>1820</v>
      </c>
      <c r="BD4" s="11" t="s">
        <v>1819</v>
      </c>
      <c r="BE4" s="12" t="s">
        <v>2104</v>
      </c>
      <c r="BF4" s="12" t="s">
        <v>2105</v>
      </c>
      <c r="BI4" s="51" t="s">
        <v>2155</v>
      </c>
      <c r="BJ4" s="57" t="s">
        <v>2156</v>
      </c>
      <c r="BK4" s="51" t="s">
        <v>2157</v>
      </c>
      <c r="BL4" s="51" t="s">
        <v>2158</v>
      </c>
    </row>
    <row r="5" spans="1:97">
      <c r="A5" s="1" t="s">
        <v>2120</v>
      </c>
      <c r="B5" s="1" t="s">
        <v>1801</v>
      </c>
      <c r="C5" s="1" t="s">
        <v>1798</v>
      </c>
      <c r="D5" s="1" t="s">
        <v>1790</v>
      </c>
      <c r="E5" s="1" t="s">
        <v>2528</v>
      </c>
      <c r="F5" s="5" t="s">
        <v>2492</v>
      </c>
      <c r="G5" s="1" t="s">
        <v>1807</v>
      </c>
      <c r="H5" s="1">
        <v>16</v>
      </c>
      <c r="I5" s="1" t="s">
        <v>1814</v>
      </c>
      <c r="J5" s="1" t="s">
        <v>16</v>
      </c>
      <c r="K5" s="1" t="s">
        <v>1823</v>
      </c>
      <c r="L5" s="4" t="s">
        <v>1827</v>
      </c>
      <c r="M5" s="5" t="s">
        <v>1999</v>
      </c>
      <c r="N5" s="4" t="s">
        <v>1393</v>
      </c>
      <c r="O5" s="4" t="s">
        <v>1552</v>
      </c>
      <c r="P5" s="5" t="s">
        <v>2785</v>
      </c>
      <c r="Q5" s="4" t="s">
        <v>1441</v>
      </c>
      <c r="R5" s="8" t="s">
        <v>1833</v>
      </c>
      <c r="S5" s="8" t="s">
        <v>1834</v>
      </c>
      <c r="T5" s="5" t="s">
        <v>2492</v>
      </c>
      <c r="U5" s="5" t="s">
        <v>648</v>
      </c>
      <c r="V5" s="5" t="s">
        <v>680</v>
      </c>
      <c r="W5" s="5" t="s">
        <v>1597</v>
      </c>
      <c r="X5" s="5" t="s">
        <v>1988</v>
      </c>
      <c r="Y5" s="5" t="s">
        <v>868</v>
      </c>
      <c r="Z5" s="5" t="s">
        <v>966</v>
      </c>
      <c r="AA5" s="5" t="s">
        <v>1953</v>
      </c>
      <c r="AB5" s="5" t="s">
        <v>1326</v>
      </c>
      <c r="AC5" s="5" t="s">
        <v>1056</v>
      </c>
      <c r="AD5" s="5" t="s">
        <v>1753</v>
      </c>
      <c r="AE5" s="5" t="s">
        <v>765</v>
      </c>
      <c r="AF5" s="5" t="s">
        <v>1969</v>
      </c>
      <c r="AG5" s="5" t="s">
        <v>1876</v>
      </c>
      <c r="AH5" s="5" t="s">
        <v>828</v>
      </c>
      <c r="AI5" s="5" t="s">
        <v>2111</v>
      </c>
      <c r="AJ5" s="5" t="s">
        <v>1196</v>
      </c>
      <c r="AK5" s="5" t="s">
        <v>471</v>
      </c>
      <c r="AL5" s="5" t="s">
        <v>354</v>
      </c>
      <c r="AM5" s="5" t="s">
        <v>305</v>
      </c>
      <c r="AN5" s="5" t="s">
        <v>1005</v>
      </c>
      <c r="AO5" s="5" t="s">
        <v>1233</v>
      </c>
      <c r="AP5" s="5" t="s">
        <v>198</v>
      </c>
      <c r="AQ5" s="5" t="s">
        <v>1239</v>
      </c>
      <c r="AR5" s="5" t="s">
        <v>947</v>
      </c>
      <c r="AS5" s="5" t="s">
        <v>62</v>
      </c>
      <c r="AT5" s="5" t="s">
        <v>1144</v>
      </c>
      <c r="AU5" s="5" t="s">
        <v>21</v>
      </c>
      <c r="AV5" s="5" t="s">
        <v>1301</v>
      </c>
      <c r="AW5" s="5" t="s">
        <v>139</v>
      </c>
      <c r="AX5" s="5" t="s">
        <v>511</v>
      </c>
      <c r="AY5" s="5" t="s">
        <v>1760</v>
      </c>
      <c r="AZ5" s="5" t="s">
        <v>1083</v>
      </c>
      <c r="BA5" s="5" t="s">
        <v>194</v>
      </c>
      <c r="BB5" s="5" t="s">
        <v>641</v>
      </c>
      <c r="BC5" s="5" t="s">
        <v>640</v>
      </c>
      <c r="BD5" s="5" t="s">
        <v>637</v>
      </c>
      <c r="BE5" s="5" t="s">
        <v>1999</v>
      </c>
      <c r="BF5" s="18" t="s">
        <v>2108</v>
      </c>
      <c r="BG5" s="5"/>
      <c r="BH5" s="5"/>
      <c r="BI5" s="48">
        <v>1</v>
      </c>
      <c r="BJ5" s="54" t="s">
        <v>2225</v>
      </c>
      <c r="BK5" s="52" t="s">
        <v>2163</v>
      </c>
      <c r="BL5" s="52" t="s">
        <v>2163</v>
      </c>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row>
    <row r="6" spans="1:97">
      <c r="A6" s="1" t="s">
        <v>2119</v>
      </c>
      <c r="B6" s="1" t="s">
        <v>1802</v>
      </c>
      <c r="C6" s="1" t="s">
        <v>1799</v>
      </c>
      <c r="D6" s="1" t="s">
        <v>2146</v>
      </c>
      <c r="E6" s="1" t="s">
        <v>2529</v>
      </c>
      <c r="F6" s="1" t="s">
        <v>2121</v>
      </c>
      <c r="G6" s="1" t="s">
        <v>1808</v>
      </c>
      <c r="H6" s="1">
        <v>17</v>
      </c>
      <c r="I6" s="1" t="s">
        <v>1815</v>
      </c>
      <c r="J6" s="1" t="s">
        <v>25</v>
      </c>
      <c r="K6" s="1" t="s">
        <v>1824</v>
      </c>
      <c r="L6" s="4" t="s">
        <v>1828</v>
      </c>
      <c r="M6" s="5" t="s">
        <v>2000</v>
      </c>
      <c r="N6" s="4" t="s">
        <v>1392</v>
      </c>
      <c r="O6" s="4" t="s">
        <v>2497</v>
      </c>
      <c r="P6" s="5" t="s">
        <v>2783</v>
      </c>
      <c r="Q6" s="4" t="s">
        <v>1440</v>
      </c>
      <c r="T6" s="5" t="s">
        <v>517</v>
      </c>
      <c r="U6" s="5" t="s">
        <v>655</v>
      </c>
      <c r="V6" s="5" t="s">
        <v>1388</v>
      </c>
      <c r="W6" s="5" t="s">
        <v>1650</v>
      </c>
      <c r="X6" s="5" t="s">
        <v>736</v>
      </c>
      <c r="Y6" s="5" t="s">
        <v>872</v>
      </c>
      <c r="Z6" s="5" t="s">
        <v>973</v>
      </c>
      <c r="AA6" s="5" t="s">
        <v>1955</v>
      </c>
      <c r="AB6" s="5" t="s">
        <v>4</v>
      </c>
      <c r="AC6" s="5" t="s">
        <v>1076</v>
      </c>
      <c r="AD6" s="5" t="s">
        <v>1916</v>
      </c>
      <c r="AE6" s="5" t="s">
        <v>1365</v>
      </c>
      <c r="AF6" s="5" t="s">
        <v>751</v>
      </c>
      <c r="AG6" s="5" t="s">
        <v>1885</v>
      </c>
      <c r="AH6" s="5" t="s">
        <v>819</v>
      </c>
      <c r="AI6" s="5" t="s">
        <v>267</v>
      </c>
      <c r="AJ6" s="5" t="s">
        <v>1386</v>
      </c>
      <c r="AK6" s="5" t="s">
        <v>467</v>
      </c>
      <c r="AL6" s="5" t="s">
        <v>355</v>
      </c>
      <c r="AM6" s="5" t="s">
        <v>306</v>
      </c>
      <c r="AN6" s="5" t="s">
        <v>1008</v>
      </c>
      <c r="AO6" s="5" t="s">
        <v>897</v>
      </c>
      <c r="AP6" s="5" t="s">
        <v>157</v>
      </c>
      <c r="AQ6" s="5" t="s">
        <v>1248</v>
      </c>
      <c r="AR6" s="5" t="s">
        <v>949</v>
      </c>
      <c r="AS6" s="5" t="s">
        <v>71</v>
      </c>
      <c r="AT6" s="5" t="s">
        <v>1178</v>
      </c>
      <c r="AU6" s="5" t="s">
        <v>28</v>
      </c>
      <c r="AV6" s="5" t="s">
        <v>1285</v>
      </c>
      <c r="AW6" s="5" t="s">
        <v>140</v>
      </c>
      <c r="AX6" s="5" t="s">
        <v>512</v>
      </c>
      <c r="AY6" s="5" t="s">
        <v>1766</v>
      </c>
      <c r="AZ6" s="5" t="s">
        <v>1086</v>
      </c>
      <c r="BA6" s="5" t="s">
        <v>2663</v>
      </c>
      <c r="BB6" s="5" t="s">
        <v>638</v>
      </c>
      <c r="BC6" s="5" t="s">
        <v>637</v>
      </c>
      <c r="BD6" s="5" t="s">
        <v>637</v>
      </c>
      <c r="BE6" s="5" t="s">
        <v>2000</v>
      </c>
      <c r="BF6" s="18" t="s">
        <v>2108</v>
      </c>
      <c r="BG6" s="5"/>
      <c r="BH6" s="5"/>
      <c r="BI6" s="48">
        <v>2</v>
      </c>
      <c r="BJ6" s="55" t="s">
        <v>2568</v>
      </c>
      <c r="BK6" s="20" t="s">
        <v>2163</v>
      </c>
      <c r="BL6" s="20" t="s">
        <v>2163</v>
      </c>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row>
    <row r="7" spans="1:97">
      <c r="A7" s="1" t="s">
        <v>2398</v>
      </c>
      <c r="B7" s="1" t="s">
        <v>1870</v>
      </c>
      <c r="C7" s="1" t="s">
        <v>1116</v>
      </c>
      <c r="D7" s="1" t="s">
        <v>2147</v>
      </c>
      <c r="E7" s="1" t="s">
        <v>2530</v>
      </c>
      <c r="F7" s="1" t="s">
        <v>2122</v>
      </c>
      <c r="G7" s="1" t="s">
        <v>1809</v>
      </c>
      <c r="H7" s="1">
        <v>18</v>
      </c>
      <c r="I7" s="1" t="s">
        <v>1816</v>
      </c>
      <c r="J7" s="1" t="s">
        <v>2149</v>
      </c>
      <c r="K7" s="1" t="s">
        <v>1825</v>
      </c>
      <c r="L7" s="4" t="s">
        <v>1829</v>
      </c>
      <c r="M7" s="5" t="s">
        <v>2001</v>
      </c>
      <c r="N7" s="4" t="s">
        <v>2493</v>
      </c>
      <c r="O7" s="4" t="s">
        <v>1558</v>
      </c>
      <c r="P7" s="5" t="s">
        <v>2805</v>
      </c>
      <c r="Q7" s="4" t="s">
        <v>1445</v>
      </c>
      <c r="R7" s="7" t="s">
        <v>2059</v>
      </c>
      <c r="T7" s="5" t="s">
        <v>518</v>
      </c>
      <c r="U7" s="5" t="s">
        <v>660</v>
      </c>
      <c r="V7" s="5" t="s">
        <v>1576</v>
      </c>
      <c r="W7" s="5" t="s">
        <v>1655</v>
      </c>
      <c r="X7" s="5" t="s">
        <v>201</v>
      </c>
      <c r="Y7" s="5" t="s">
        <v>878</v>
      </c>
      <c r="Z7" s="5" t="s">
        <v>925</v>
      </c>
      <c r="AA7" s="5" t="s">
        <v>719</v>
      </c>
      <c r="AB7" s="5" t="s">
        <v>2053</v>
      </c>
      <c r="AC7" s="5" t="s">
        <v>1932</v>
      </c>
      <c r="AD7" s="5" t="s">
        <v>1909</v>
      </c>
      <c r="AE7" s="5" t="s">
        <v>799</v>
      </c>
      <c r="AF7" s="5" t="s">
        <v>747</v>
      </c>
      <c r="AG7" s="5" t="s">
        <v>1888</v>
      </c>
      <c r="AH7" s="5" t="s">
        <v>825</v>
      </c>
      <c r="AI7" s="5" t="s">
        <v>238</v>
      </c>
      <c r="AJ7" s="5" t="s">
        <v>284</v>
      </c>
      <c r="AK7" s="5" t="s">
        <v>476</v>
      </c>
      <c r="AL7" s="5" t="s">
        <v>1289</v>
      </c>
      <c r="AM7" s="5" t="s">
        <v>311</v>
      </c>
      <c r="AN7" s="5" t="s">
        <v>690</v>
      </c>
      <c r="AO7" s="5" t="s">
        <v>1226</v>
      </c>
      <c r="AP7" s="5" t="s">
        <v>159</v>
      </c>
      <c r="AQ7" s="5" t="s">
        <v>1249</v>
      </c>
      <c r="AR7" s="5" t="s">
        <v>39</v>
      </c>
      <c r="AS7" s="5" t="s">
        <v>85</v>
      </c>
      <c r="AT7" s="5" t="s">
        <v>1157</v>
      </c>
      <c r="AU7" s="5" t="s">
        <v>30</v>
      </c>
      <c r="AV7" s="5" t="s">
        <v>1288</v>
      </c>
      <c r="AW7" s="5" t="s">
        <v>142</v>
      </c>
      <c r="AX7" s="5" t="s">
        <v>513</v>
      </c>
      <c r="AY7" s="5" t="s">
        <v>1761</v>
      </c>
      <c r="AZ7" s="5" t="s">
        <v>1088</v>
      </c>
      <c r="BA7" s="5" t="s">
        <v>2662</v>
      </c>
      <c r="BB7" s="5" t="s">
        <v>638</v>
      </c>
      <c r="BC7" s="5" t="s">
        <v>637</v>
      </c>
      <c r="BD7" s="5" t="s">
        <v>637</v>
      </c>
      <c r="BE7" s="5" t="s">
        <v>2001</v>
      </c>
      <c r="BF7" s="18" t="s">
        <v>2108</v>
      </c>
      <c r="BG7" s="5"/>
      <c r="BH7" s="5"/>
      <c r="BI7" s="48">
        <v>3</v>
      </c>
      <c r="BJ7" s="55" t="s">
        <v>2226</v>
      </c>
      <c r="BK7" s="20" t="s">
        <v>2163</v>
      </c>
      <c r="BL7" s="20" t="s">
        <v>2163</v>
      </c>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row>
    <row r="8" spans="1:97">
      <c r="B8" s="1" t="s">
        <v>1115</v>
      </c>
      <c r="D8" s="1" t="s">
        <v>2148</v>
      </c>
      <c r="E8" s="1" t="s">
        <v>2123</v>
      </c>
      <c r="G8" s="1" t="s">
        <v>1810</v>
      </c>
      <c r="H8" s="1">
        <v>19</v>
      </c>
      <c r="I8" s="1" t="s">
        <v>1817</v>
      </c>
      <c r="J8" s="1" t="s">
        <v>381</v>
      </c>
      <c r="K8" s="1" t="s">
        <v>1800</v>
      </c>
      <c r="L8" s="4" t="s">
        <v>1830</v>
      </c>
      <c r="M8" s="5" t="s">
        <v>2002</v>
      </c>
      <c r="N8" s="4" t="s">
        <v>2494</v>
      </c>
      <c r="O8" s="4" t="s">
        <v>1559</v>
      </c>
      <c r="P8" s="5" t="s">
        <v>2787</v>
      </c>
      <c r="Q8" s="4" t="s">
        <v>1443</v>
      </c>
      <c r="R8" s="4" t="s">
        <v>697</v>
      </c>
      <c r="T8" s="5" t="s">
        <v>519</v>
      </c>
      <c r="U8" s="5" t="s">
        <v>665</v>
      </c>
      <c r="V8" s="5" t="s">
        <v>1589</v>
      </c>
      <c r="W8" s="5" t="s">
        <v>1679</v>
      </c>
      <c r="X8" s="5" t="s">
        <v>735</v>
      </c>
      <c r="Y8" s="5" t="s">
        <v>882</v>
      </c>
      <c r="Z8" s="5" t="s">
        <v>967</v>
      </c>
      <c r="AA8" s="5" t="s">
        <v>1957</v>
      </c>
      <c r="AB8" s="5" t="s">
        <v>2051</v>
      </c>
      <c r="AC8" s="5" t="s">
        <v>852</v>
      </c>
      <c r="AD8" s="5" t="s">
        <v>1907</v>
      </c>
      <c r="AE8" s="5" t="s">
        <v>798</v>
      </c>
      <c r="AF8" s="5" t="s">
        <v>760</v>
      </c>
      <c r="AG8" s="5" t="s">
        <v>1891</v>
      </c>
      <c r="AH8" s="5" t="s">
        <v>827</v>
      </c>
      <c r="AI8" s="5" t="s">
        <v>243</v>
      </c>
      <c r="AJ8" s="5" t="s">
        <v>293</v>
      </c>
      <c r="AK8" s="5" t="s">
        <v>463</v>
      </c>
      <c r="AL8" s="5" t="s">
        <v>418</v>
      </c>
      <c r="AM8" s="5" t="s">
        <v>313</v>
      </c>
      <c r="AN8" s="5" t="s">
        <v>1022</v>
      </c>
      <c r="AO8" s="5" t="s">
        <v>885</v>
      </c>
      <c r="AP8" s="5" t="s">
        <v>161</v>
      </c>
      <c r="AQ8" s="5" t="s">
        <v>1244</v>
      </c>
      <c r="AR8" s="5" t="s">
        <v>43</v>
      </c>
      <c r="AS8" s="5" t="s">
        <v>72</v>
      </c>
      <c r="AT8" s="5" t="s">
        <v>1142</v>
      </c>
      <c r="AU8" s="5" t="s">
        <v>34</v>
      </c>
      <c r="AV8" s="5" t="s">
        <v>1290</v>
      </c>
      <c r="AW8" s="5" t="s">
        <v>144</v>
      </c>
      <c r="AX8" s="5" t="s">
        <v>514</v>
      </c>
      <c r="AY8" s="5" t="s">
        <v>1193</v>
      </c>
      <c r="AZ8" s="5" t="s">
        <v>1094</v>
      </c>
      <c r="BA8" s="5" t="s">
        <v>175</v>
      </c>
      <c r="BB8" s="5" t="s">
        <v>646</v>
      </c>
      <c r="BC8" s="5" t="s">
        <v>637</v>
      </c>
      <c r="BD8" s="5" t="s">
        <v>637</v>
      </c>
      <c r="BE8" s="5" t="s">
        <v>2002</v>
      </c>
      <c r="BF8" s="18" t="s">
        <v>2108</v>
      </c>
      <c r="BG8" s="5"/>
      <c r="BH8" s="5"/>
      <c r="BI8" s="48">
        <v>4</v>
      </c>
      <c r="BJ8" s="55" t="s">
        <v>2227</v>
      </c>
      <c r="BK8" s="20" t="s">
        <v>2163</v>
      </c>
      <c r="BL8" s="20" t="s">
        <v>2163</v>
      </c>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row>
    <row r="9" spans="1:97">
      <c r="B9" s="1" t="s">
        <v>1114</v>
      </c>
      <c r="D9" s="1" t="s">
        <v>2133</v>
      </c>
      <c r="E9" s="1" t="s">
        <v>2531</v>
      </c>
      <c r="G9" s="1" t="s">
        <v>1868</v>
      </c>
      <c r="H9" s="1">
        <v>20</v>
      </c>
      <c r="J9" s="1" t="s">
        <v>2150</v>
      </c>
      <c r="L9" s="4" t="s">
        <v>1831</v>
      </c>
      <c r="M9" s="5" t="s">
        <v>2003</v>
      </c>
      <c r="N9" s="4" t="s">
        <v>2113</v>
      </c>
      <c r="O9" s="4" t="s">
        <v>1560</v>
      </c>
      <c r="P9" s="5" t="s">
        <v>2710</v>
      </c>
      <c r="Q9" s="4" t="s">
        <v>1446</v>
      </c>
      <c r="R9" s="4" t="s">
        <v>2060</v>
      </c>
      <c r="T9" s="5" t="s">
        <v>520</v>
      </c>
      <c r="U9" s="5" t="s">
        <v>670</v>
      </c>
      <c r="V9" s="5" t="s">
        <v>1590</v>
      </c>
      <c r="W9" s="5" t="s">
        <v>1664</v>
      </c>
      <c r="X9" s="5" t="s">
        <v>752</v>
      </c>
      <c r="Y9" s="5" t="s">
        <v>880</v>
      </c>
      <c r="Z9" s="5" t="s">
        <v>1014</v>
      </c>
      <c r="AA9" s="5" t="s">
        <v>1723</v>
      </c>
      <c r="AB9" s="5" t="s">
        <v>2056</v>
      </c>
      <c r="AC9" s="5" t="s">
        <v>999</v>
      </c>
      <c r="AD9" s="5" t="s">
        <v>1754</v>
      </c>
      <c r="AE9" s="5" t="s">
        <v>809</v>
      </c>
      <c r="AF9" s="5" t="s">
        <v>1948</v>
      </c>
      <c r="AG9" s="5" t="s">
        <v>1883</v>
      </c>
      <c r="AH9" s="5" t="s">
        <v>821</v>
      </c>
      <c r="AI9" s="5" t="s">
        <v>255</v>
      </c>
      <c r="AJ9" s="5" t="s">
        <v>285</v>
      </c>
      <c r="AK9" s="5" t="s">
        <v>492</v>
      </c>
      <c r="AL9" s="5" t="s">
        <v>410</v>
      </c>
      <c r="AM9" s="5" t="s">
        <v>315</v>
      </c>
      <c r="AN9" s="5" t="s">
        <v>921</v>
      </c>
      <c r="AO9" s="5" t="s">
        <v>887</v>
      </c>
      <c r="AP9" s="5" t="s">
        <v>163</v>
      </c>
      <c r="AQ9" s="5" t="s">
        <v>1241</v>
      </c>
      <c r="AR9" s="5" t="s">
        <v>47</v>
      </c>
      <c r="AS9" s="5" t="s">
        <v>73</v>
      </c>
      <c r="AT9" s="5" t="s">
        <v>1154</v>
      </c>
      <c r="AU9" s="5" t="s">
        <v>36</v>
      </c>
      <c r="AV9" s="5" t="s">
        <v>1292</v>
      </c>
      <c r="AW9" s="5" t="s">
        <v>146</v>
      </c>
      <c r="AX9" s="5" t="s">
        <v>515</v>
      </c>
      <c r="AY9" s="5" t="s">
        <v>1787</v>
      </c>
      <c r="AZ9" s="5" t="s">
        <v>1092</v>
      </c>
      <c r="BA9" s="5" t="s">
        <v>177</v>
      </c>
      <c r="BB9" s="5" t="s">
        <v>643</v>
      </c>
      <c r="BC9" s="5" t="s">
        <v>642</v>
      </c>
      <c r="BD9" s="5" t="s">
        <v>637</v>
      </c>
      <c r="BE9" s="5" t="s">
        <v>2003</v>
      </c>
      <c r="BF9" s="13" t="s">
        <v>2106</v>
      </c>
      <c r="BG9" s="5"/>
      <c r="BH9" s="5"/>
      <c r="BI9" s="48">
        <v>5</v>
      </c>
      <c r="BJ9" s="55" t="s">
        <v>2191</v>
      </c>
      <c r="BK9" s="20" t="s">
        <v>2169</v>
      </c>
      <c r="BL9" s="20" t="s">
        <v>2191</v>
      </c>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row>
    <row r="10" spans="1:97">
      <c r="B10" s="1" t="s">
        <v>1803</v>
      </c>
      <c r="D10" s="1" t="s">
        <v>2437</v>
      </c>
      <c r="E10" s="1" t="s">
        <v>2532</v>
      </c>
      <c r="G10" s="1" t="s">
        <v>1811</v>
      </c>
      <c r="H10" s="1">
        <v>21</v>
      </c>
      <c r="J10" s="1" t="s">
        <v>764</v>
      </c>
      <c r="L10" s="4" t="s">
        <v>2635</v>
      </c>
      <c r="M10" s="5" t="s">
        <v>2004</v>
      </c>
      <c r="N10" s="4" t="s">
        <v>1366</v>
      </c>
      <c r="O10" s="4" t="s">
        <v>1561</v>
      </c>
      <c r="P10" s="5" t="s">
        <v>2830</v>
      </c>
      <c r="Q10" s="4" t="s">
        <v>1437</v>
      </c>
      <c r="R10" s="4" t="s">
        <v>2061</v>
      </c>
      <c r="T10" s="5" t="s">
        <v>521</v>
      </c>
      <c r="U10" s="5" t="s">
        <v>671</v>
      </c>
      <c r="V10" s="5" t="s">
        <v>1706</v>
      </c>
      <c r="W10" s="5" t="s">
        <v>1641</v>
      </c>
      <c r="X10" s="5" t="s">
        <v>1992</v>
      </c>
      <c r="Y10" s="5" t="s">
        <v>908</v>
      </c>
      <c r="Z10" s="5" t="s">
        <v>987</v>
      </c>
      <c r="AA10" s="5" t="s">
        <v>1735</v>
      </c>
      <c r="AB10" s="5" t="s">
        <v>1323</v>
      </c>
      <c r="AC10" s="5" t="s">
        <v>855</v>
      </c>
      <c r="AD10" s="5" t="s">
        <v>609</v>
      </c>
      <c r="AE10" s="5" t="s">
        <v>771</v>
      </c>
      <c r="AF10" s="5" t="s">
        <v>398</v>
      </c>
      <c r="AG10" s="5" t="s">
        <v>1918</v>
      </c>
      <c r="AH10" s="5" t="s">
        <v>1927</v>
      </c>
      <c r="AI10" s="5" t="s">
        <v>263</v>
      </c>
      <c r="AJ10" s="5" t="s">
        <v>287</v>
      </c>
      <c r="AK10" s="5" t="s">
        <v>499</v>
      </c>
      <c r="AL10" s="5" t="s">
        <v>482</v>
      </c>
      <c r="AM10" s="5" t="s">
        <v>2496</v>
      </c>
      <c r="AN10" s="5" t="s">
        <v>1017</v>
      </c>
      <c r="AO10" s="5" t="s">
        <v>889</v>
      </c>
      <c r="AP10" s="5" t="s">
        <v>165</v>
      </c>
      <c r="AQ10" s="5" t="s">
        <v>1251</v>
      </c>
      <c r="AR10" s="5" t="s">
        <v>49</v>
      </c>
      <c r="AS10" s="5" t="s">
        <v>64</v>
      </c>
      <c r="AT10" s="5" t="s">
        <v>1168</v>
      </c>
      <c r="AU10" s="5" t="s">
        <v>38</v>
      </c>
      <c r="AV10" s="5" t="s">
        <v>1295</v>
      </c>
      <c r="AW10" s="5" t="s">
        <v>148</v>
      </c>
      <c r="AX10" s="5" t="s">
        <v>549</v>
      </c>
      <c r="AY10" s="5" t="s">
        <v>1772</v>
      </c>
      <c r="AZ10" s="5" t="s">
        <v>1134</v>
      </c>
      <c r="BA10" s="5" t="s">
        <v>180</v>
      </c>
      <c r="BB10" s="5" t="s">
        <v>645</v>
      </c>
      <c r="BC10" s="5" t="s">
        <v>644</v>
      </c>
      <c r="BD10" s="5" t="s">
        <v>637</v>
      </c>
      <c r="BE10" s="5" t="s">
        <v>2004</v>
      </c>
      <c r="BF10" s="18" t="s">
        <v>2108</v>
      </c>
      <c r="BG10" s="5"/>
      <c r="BH10" s="5"/>
      <c r="BI10" s="48">
        <v>6</v>
      </c>
      <c r="BJ10" s="55" t="s">
        <v>2208</v>
      </c>
      <c r="BK10" s="20" t="s">
        <v>2159</v>
      </c>
      <c r="BL10" s="20" t="s">
        <v>2160</v>
      </c>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row>
    <row r="11" spans="1:97">
      <c r="B11" s="1" t="s">
        <v>1806</v>
      </c>
      <c r="E11" s="1" t="s">
        <v>2533</v>
      </c>
      <c r="G11" s="1" t="s">
        <v>1812</v>
      </c>
      <c r="H11" s="1">
        <v>22</v>
      </c>
      <c r="J11" s="1" t="s">
        <v>229</v>
      </c>
      <c r="L11" s="4" t="s">
        <v>1832</v>
      </c>
      <c r="M11" s="5" t="s">
        <v>2006</v>
      </c>
      <c r="N11" s="4" t="s">
        <v>1349</v>
      </c>
      <c r="O11" s="4" t="s">
        <v>1556</v>
      </c>
      <c r="P11" s="5" t="s">
        <v>2703</v>
      </c>
      <c r="Q11" s="4" t="s">
        <v>1442</v>
      </c>
      <c r="R11" s="4" t="s">
        <v>2062</v>
      </c>
      <c r="T11" s="5" t="s">
        <v>522</v>
      </c>
      <c r="U11" s="5" t="s">
        <v>641</v>
      </c>
      <c r="V11" s="5" t="s">
        <v>1578</v>
      </c>
      <c r="W11" s="5" t="s">
        <v>1752</v>
      </c>
      <c r="X11" s="5" t="s">
        <v>756</v>
      </c>
      <c r="Y11" s="5" t="s">
        <v>911</v>
      </c>
      <c r="Z11" s="5" t="s">
        <v>1002</v>
      </c>
      <c r="AA11" s="5" t="s">
        <v>1721</v>
      </c>
      <c r="AB11" s="5" t="s">
        <v>2058</v>
      </c>
      <c r="AC11" s="5" t="s">
        <v>1066</v>
      </c>
      <c r="AD11" s="5" t="s">
        <v>1911</v>
      </c>
      <c r="AE11" s="5" t="s">
        <v>804</v>
      </c>
      <c r="AF11" s="5" t="s">
        <v>323</v>
      </c>
      <c r="AG11" s="5" t="s">
        <v>1897</v>
      </c>
      <c r="AH11" s="5" t="s">
        <v>782</v>
      </c>
      <c r="AI11" s="5" t="s">
        <v>264</v>
      </c>
      <c r="AJ11" s="5" t="s">
        <v>269</v>
      </c>
      <c r="AK11" s="5" t="s">
        <v>396</v>
      </c>
      <c r="AL11" s="5" t="s">
        <v>850</v>
      </c>
      <c r="AM11" s="5" t="s">
        <v>510</v>
      </c>
      <c r="AN11" s="5" t="s">
        <v>687</v>
      </c>
      <c r="AO11" s="5" t="s">
        <v>890</v>
      </c>
      <c r="AP11" s="5" t="s">
        <v>167</v>
      </c>
      <c r="AQ11" s="5" t="s">
        <v>1274</v>
      </c>
      <c r="AR11" s="5" t="s">
        <v>51</v>
      </c>
      <c r="AS11" s="5" t="s">
        <v>79</v>
      </c>
      <c r="AT11" s="5" t="s">
        <v>1164</v>
      </c>
      <c r="AU11" s="5" t="s">
        <v>983</v>
      </c>
      <c r="AV11" s="5" t="s">
        <v>1297</v>
      </c>
      <c r="AW11" s="5" t="s">
        <v>150</v>
      </c>
      <c r="AX11" s="5" t="s">
        <v>551</v>
      </c>
      <c r="AY11" s="5" t="s">
        <v>1921</v>
      </c>
      <c r="AZ11" s="5" t="s">
        <v>1129</v>
      </c>
      <c r="BA11" s="5" t="s">
        <v>182</v>
      </c>
      <c r="BB11" s="5" t="s">
        <v>653</v>
      </c>
      <c r="BC11" s="5" t="s">
        <v>652</v>
      </c>
      <c r="BD11" s="5" t="s">
        <v>647</v>
      </c>
      <c r="BE11" s="5" t="s">
        <v>2006</v>
      </c>
      <c r="BF11" s="18" t="s">
        <v>2108</v>
      </c>
      <c r="BG11" s="5"/>
      <c r="BH11" s="5"/>
      <c r="BI11" s="48">
        <v>7</v>
      </c>
      <c r="BJ11" s="55" t="s">
        <v>2206</v>
      </c>
      <c r="BK11" s="20" t="s">
        <v>2159</v>
      </c>
      <c r="BL11" s="20" t="s">
        <v>2160</v>
      </c>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row>
    <row r="12" spans="1:97">
      <c r="B12" s="1" t="s">
        <v>2112</v>
      </c>
      <c r="E12" s="1" t="s">
        <v>2534</v>
      </c>
      <c r="G12" s="1" t="s">
        <v>1800</v>
      </c>
      <c r="H12" s="1">
        <v>23</v>
      </c>
      <c r="J12" s="1" t="s">
        <v>2151</v>
      </c>
      <c r="L12" s="4" t="s">
        <v>2059</v>
      </c>
      <c r="M12" s="5" t="s">
        <v>2007</v>
      </c>
      <c r="N12" s="4" t="s">
        <v>1347</v>
      </c>
      <c r="O12" s="4" t="s">
        <v>1567</v>
      </c>
      <c r="P12" s="5" t="s">
        <v>2681</v>
      </c>
      <c r="Q12" s="4" t="s">
        <v>1438</v>
      </c>
      <c r="R12" s="4" t="s">
        <v>2063</v>
      </c>
      <c r="T12" s="5" t="s">
        <v>523</v>
      </c>
      <c r="U12" s="5" t="s">
        <v>669</v>
      </c>
      <c r="V12" s="5" t="s">
        <v>1712</v>
      </c>
      <c r="W12" s="5" t="s">
        <v>1668</v>
      </c>
      <c r="X12" s="5" t="s">
        <v>1990</v>
      </c>
      <c r="Y12" s="5" t="s">
        <v>870</v>
      </c>
      <c r="Z12" s="5" t="s">
        <v>937</v>
      </c>
      <c r="AA12" s="5" t="s">
        <v>1737</v>
      </c>
      <c r="AB12" s="5" t="s">
        <v>1330</v>
      </c>
      <c r="AC12" s="5" t="s">
        <v>1078</v>
      </c>
      <c r="AD12" s="5" t="s">
        <v>1756</v>
      </c>
      <c r="AE12" s="5" t="s">
        <v>806</v>
      </c>
      <c r="AF12" s="5" t="s">
        <v>325</v>
      </c>
      <c r="AG12" s="5" t="s">
        <v>1898</v>
      </c>
      <c r="AH12" s="5" t="s">
        <v>817</v>
      </c>
      <c r="AI12" s="5" t="s">
        <v>230</v>
      </c>
      <c r="AJ12" s="5" t="s">
        <v>266</v>
      </c>
      <c r="AK12" s="5" t="s">
        <v>472</v>
      </c>
      <c r="AL12" s="5" t="s">
        <v>359</v>
      </c>
      <c r="AM12" s="5" t="s">
        <v>456</v>
      </c>
      <c r="AN12" s="5" t="s">
        <v>918</v>
      </c>
      <c r="AO12" s="5" t="s">
        <v>1209</v>
      </c>
      <c r="AP12" s="5" t="s">
        <v>169</v>
      </c>
      <c r="AQ12" s="5" t="s">
        <v>1283</v>
      </c>
      <c r="AR12" s="5" t="s">
        <v>53</v>
      </c>
      <c r="AS12" s="5" t="s">
        <v>81</v>
      </c>
      <c r="AT12" s="5" t="s">
        <v>1152</v>
      </c>
      <c r="AU12" s="5" t="s">
        <v>88</v>
      </c>
      <c r="AV12" s="5" t="s">
        <v>1299</v>
      </c>
      <c r="AW12" s="5" t="s">
        <v>111</v>
      </c>
      <c r="AX12" s="5" t="s">
        <v>554</v>
      </c>
      <c r="AY12" s="5" t="s">
        <v>1871</v>
      </c>
      <c r="AZ12" s="5" t="s">
        <v>1106</v>
      </c>
      <c r="BA12" s="5" t="s">
        <v>184</v>
      </c>
      <c r="BB12" s="5" t="s">
        <v>651</v>
      </c>
      <c r="BC12" s="5" t="s">
        <v>650</v>
      </c>
      <c r="BD12" s="5" t="s">
        <v>647</v>
      </c>
      <c r="BE12" s="5" t="s">
        <v>2007</v>
      </c>
      <c r="BF12" s="17" t="s">
        <v>2109</v>
      </c>
      <c r="BG12" s="5"/>
      <c r="BH12" s="5"/>
      <c r="BI12" s="48">
        <v>8</v>
      </c>
      <c r="BJ12" s="55" t="s">
        <v>2205</v>
      </c>
      <c r="BK12" s="20" t="s">
        <v>2159</v>
      </c>
      <c r="BL12" s="20" t="s">
        <v>2160</v>
      </c>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row>
    <row r="13" spans="1:97">
      <c r="E13" s="1" t="s">
        <v>2535</v>
      </c>
      <c r="G13" s="1" t="s">
        <v>1869</v>
      </c>
      <c r="H13" s="1">
        <v>24</v>
      </c>
      <c r="J13" s="1" t="s">
        <v>18</v>
      </c>
      <c r="L13" s="5" t="s">
        <v>2664</v>
      </c>
      <c r="M13" s="5" t="s">
        <v>2008</v>
      </c>
      <c r="N13" s="4" t="s">
        <v>1419</v>
      </c>
      <c r="O13" s="4" t="s">
        <v>1554</v>
      </c>
      <c r="P13" s="5" t="s">
        <v>2768</v>
      </c>
      <c r="Q13" s="4" t="s">
        <v>1439</v>
      </c>
      <c r="R13" s="4" t="s">
        <v>2064</v>
      </c>
      <c r="T13" s="5" t="s">
        <v>524</v>
      </c>
      <c r="U13" s="5" t="s">
        <v>663</v>
      </c>
      <c r="V13" s="5" t="s">
        <v>1700</v>
      </c>
      <c r="W13" s="5" t="s">
        <v>1657</v>
      </c>
      <c r="X13" s="5" t="s">
        <v>701</v>
      </c>
      <c r="Y13" s="5" t="s">
        <v>873</v>
      </c>
      <c r="Z13" s="5" t="s">
        <v>1028</v>
      </c>
      <c r="AA13" s="5" t="s">
        <v>727</v>
      </c>
      <c r="AB13" s="5" t="s">
        <v>585</v>
      </c>
      <c r="AC13" s="5" t="s">
        <v>1937</v>
      </c>
      <c r="AD13" s="5" t="s">
        <v>604</v>
      </c>
      <c r="AE13" s="5" t="s">
        <v>1353</v>
      </c>
      <c r="AF13" s="5" t="s">
        <v>319</v>
      </c>
      <c r="AG13" s="5" t="s">
        <v>1541</v>
      </c>
      <c r="AH13" s="5" t="s">
        <v>394</v>
      </c>
      <c r="AI13" s="5" t="s">
        <v>233</v>
      </c>
      <c r="AJ13" s="5" t="s">
        <v>296</v>
      </c>
      <c r="AK13" s="5" t="s">
        <v>463</v>
      </c>
      <c r="AL13" s="5" t="s">
        <v>479</v>
      </c>
      <c r="AM13" s="5" t="s">
        <v>336</v>
      </c>
      <c r="AN13" s="5" t="s">
        <v>384</v>
      </c>
      <c r="AO13" s="5" t="s">
        <v>1199</v>
      </c>
      <c r="AP13" s="5" t="s">
        <v>173</v>
      </c>
      <c r="AQ13" s="5" t="s">
        <v>1276</v>
      </c>
      <c r="AR13" s="5" t="s">
        <v>41</v>
      </c>
      <c r="AS13" s="5" t="s">
        <v>83</v>
      </c>
      <c r="AT13" s="5" t="s">
        <v>1162</v>
      </c>
      <c r="AU13" s="5" t="s">
        <v>22</v>
      </c>
      <c r="AV13" s="5" t="s">
        <v>1303</v>
      </c>
      <c r="AW13" s="5" t="s">
        <v>93</v>
      </c>
      <c r="AX13" s="5" t="s">
        <v>557</v>
      </c>
      <c r="AY13" s="5" t="s">
        <v>382</v>
      </c>
      <c r="AZ13" s="5" t="s">
        <v>1108</v>
      </c>
      <c r="BA13" s="5" t="s">
        <v>186</v>
      </c>
      <c r="BB13" s="5" t="s">
        <v>648</v>
      </c>
      <c r="BC13" s="5" t="s">
        <v>647</v>
      </c>
      <c r="BD13" s="5" t="s">
        <v>647</v>
      </c>
      <c r="BE13" s="5" t="s">
        <v>2008</v>
      </c>
      <c r="BF13" s="17" t="s">
        <v>2109</v>
      </c>
      <c r="BG13" s="5"/>
      <c r="BH13" s="5"/>
      <c r="BI13" s="48">
        <v>9</v>
      </c>
      <c r="BJ13" s="55" t="s">
        <v>2207</v>
      </c>
      <c r="BK13" s="20" t="s">
        <v>2159</v>
      </c>
      <c r="BL13" s="20" t="s">
        <v>2160</v>
      </c>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row>
    <row r="14" spans="1:97">
      <c r="E14" s="1" t="s">
        <v>2536</v>
      </c>
      <c r="H14" s="1">
        <v>25</v>
      </c>
      <c r="J14" s="1" t="s">
        <v>200</v>
      </c>
      <c r="L14" s="4"/>
      <c r="M14" s="5" t="s">
        <v>2009</v>
      </c>
      <c r="N14" s="4" t="s">
        <v>1371</v>
      </c>
      <c r="O14" s="4" t="s">
        <v>1557</v>
      </c>
      <c r="P14" s="5" t="s">
        <v>2738</v>
      </c>
      <c r="Q14" s="4" t="s">
        <v>1444</v>
      </c>
      <c r="R14" s="4" t="s">
        <v>2065</v>
      </c>
      <c r="T14" s="5" t="s">
        <v>548</v>
      </c>
      <c r="U14" s="5" t="s">
        <v>667</v>
      </c>
      <c r="V14" s="5" t="s">
        <v>1580</v>
      </c>
      <c r="W14" s="5" t="s">
        <v>1690</v>
      </c>
      <c r="X14" s="5" t="s">
        <v>1987</v>
      </c>
      <c r="Y14" s="5" t="s">
        <v>883</v>
      </c>
      <c r="Z14" s="5" t="s">
        <v>1059</v>
      </c>
      <c r="AA14" s="5" t="s">
        <v>1716</v>
      </c>
      <c r="AB14" s="5" t="s">
        <v>962</v>
      </c>
      <c r="AC14" s="5" t="s">
        <v>1070</v>
      </c>
      <c r="AD14" s="5" t="s">
        <v>379</v>
      </c>
      <c r="AE14" s="5" t="s">
        <v>794</v>
      </c>
      <c r="AF14" s="5" t="s">
        <v>1943</v>
      </c>
      <c r="AG14" s="5" t="s">
        <v>1881</v>
      </c>
      <c r="AH14" s="5" t="s">
        <v>1352</v>
      </c>
      <c r="AI14" s="5" t="s">
        <v>235</v>
      </c>
      <c r="AJ14" s="5" t="s">
        <v>390</v>
      </c>
      <c r="AK14" s="5" t="s">
        <v>2611</v>
      </c>
      <c r="AL14" s="5" t="s">
        <v>352</v>
      </c>
      <c r="AM14" s="5" t="s">
        <v>309</v>
      </c>
      <c r="AN14" s="5" t="s">
        <v>1574</v>
      </c>
      <c r="AO14" s="5" t="s">
        <v>1197</v>
      </c>
      <c r="AP14" s="5" t="s">
        <v>199</v>
      </c>
      <c r="AQ14" s="5" t="s">
        <v>1254</v>
      </c>
      <c r="AR14" s="5" t="s">
        <v>45</v>
      </c>
      <c r="AS14" s="5" t="s">
        <v>54</v>
      </c>
      <c r="AT14" s="5" t="s">
        <v>1138</v>
      </c>
      <c r="AU14" s="5" t="s">
        <v>939</v>
      </c>
      <c r="AV14" s="5" t="s">
        <v>1304</v>
      </c>
      <c r="AW14" s="5" t="s">
        <v>95</v>
      </c>
      <c r="AX14" s="5" t="s">
        <v>559</v>
      </c>
      <c r="AY14" s="5" t="s">
        <v>1543</v>
      </c>
      <c r="AZ14" s="5" t="s">
        <v>1111</v>
      </c>
      <c r="BA14" s="5" t="s">
        <v>188</v>
      </c>
      <c r="BB14" s="5" t="s">
        <v>649</v>
      </c>
      <c r="BC14" s="5" t="s">
        <v>647</v>
      </c>
      <c r="BD14" s="5" t="s">
        <v>647</v>
      </c>
      <c r="BE14" s="5" t="s">
        <v>2009</v>
      </c>
      <c r="BF14" s="17" t="s">
        <v>2109</v>
      </c>
      <c r="BG14" s="5"/>
      <c r="BH14" s="5"/>
      <c r="BI14" s="48">
        <v>10</v>
      </c>
      <c r="BJ14" s="55" t="s">
        <v>2204</v>
      </c>
      <c r="BK14" s="20" t="s">
        <v>2159</v>
      </c>
      <c r="BL14" s="20" t="s">
        <v>2160</v>
      </c>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row>
    <row r="15" spans="1:97">
      <c r="E15" s="1" t="s">
        <v>2537</v>
      </c>
      <c r="H15" s="1">
        <v>26</v>
      </c>
      <c r="J15" s="1" t="s">
        <v>2152</v>
      </c>
      <c r="L15" s="4"/>
      <c r="M15" s="5" t="s">
        <v>2010</v>
      </c>
      <c r="N15" s="4" t="s">
        <v>1533</v>
      </c>
      <c r="O15" s="4" t="s">
        <v>1562</v>
      </c>
      <c r="P15" s="5" t="s">
        <v>2766</v>
      </c>
      <c r="Q15" s="4" t="s">
        <v>1424</v>
      </c>
      <c r="R15" s="4" t="s">
        <v>2066</v>
      </c>
      <c r="T15" s="5" t="s">
        <v>525</v>
      </c>
      <c r="U15" s="5" t="s">
        <v>677</v>
      </c>
      <c r="V15" s="5" t="s">
        <v>1582</v>
      </c>
      <c r="W15" s="5" t="s">
        <v>1644</v>
      </c>
      <c r="X15" s="5" t="s">
        <v>741</v>
      </c>
      <c r="Y15" s="5" t="s">
        <v>874</v>
      </c>
      <c r="Z15" s="5" t="s">
        <v>1016</v>
      </c>
      <c r="AA15" s="5" t="s">
        <v>712</v>
      </c>
      <c r="AB15" s="5" t="s">
        <v>625</v>
      </c>
      <c r="AC15" s="5" t="s">
        <v>777</v>
      </c>
      <c r="AD15" s="5" t="s">
        <v>1544</v>
      </c>
      <c r="AE15" s="5" t="s">
        <v>830</v>
      </c>
      <c r="AF15" s="5" t="s">
        <v>367</v>
      </c>
      <c r="AG15" s="5" t="s">
        <v>1893</v>
      </c>
      <c r="AH15" s="5" t="s">
        <v>1927</v>
      </c>
      <c r="AI15" s="5" t="s">
        <v>236</v>
      </c>
      <c r="AJ15" s="5" t="s">
        <v>1485</v>
      </c>
      <c r="AK15" s="5" t="s">
        <v>12</v>
      </c>
      <c r="AL15" s="5" t="s">
        <v>839</v>
      </c>
      <c r="AM15" s="5" t="s">
        <v>314</v>
      </c>
      <c r="AN15" s="5" t="s">
        <v>1019</v>
      </c>
      <c r="AO15" s="5" t="s">
        <v>1200</v>
      </c>
      <c r="AP15" s="5" t="s">
        <v>1379</v>
      </c>
      <c r="AQ15" s="5" t="s">
        <v>1261</v>
      </c>
      <c r="AR15" s="5" t="s">
        <v>8</v>
      </c>
      <c r="AS15" s="5" t="s">
        <v>56</v>
      </c>
      <c r="AT15" s="5" t="s">
        <v>1140</v>
      </c>
      <c r="AU15" s="5" t="s">
        <v>979</v>
      </c>
      <c r="AV15" s="5" t="s">
        <v>1306</v>
      </c>
      <c r="AW15" s="5" t="s">
        <v>97</v>
      </c>
      <c r="AX15" s="5" t="s">
        <v>569</v>
      </c>
      <c r="AY15" s="5" t="s">
        <v>1768</v>
      </c>
      <c r="AZ15" s="5" t="s">
        <v>1117</v>
      </c>
      <c r="BA15" s="5" t="s">
        <v>190</v>
      </c>
      <c r="BB15" s="5" t="s">
        <v>658</v>
      </c>
      <c r="BC15" s="5" t="s">
        <v>657</v>
      </c>
      <c r="BD15" s="5" t="s">
        <v>647</v>
      </c>
      <c r="BE15" s="5" t="s">
        <v>2010</v>
      </c>
      <c r="BF15" s="17" t="s">
        <v>2109</v>
      </c>
      <c r="BG15" s="5"/>
      <c r="BH15" s="5"/>
      <c r="BI15" s="48">
        <v>11</v>
      </c>
      <c r="BJ15" s="55" t="s">
        <v>2203</v>
      </c>
      <c r="BK15" s="20" t="s">
        <v>2159</v>
      </c>
      <c r="BL15" s="20" t="s">
        <v>2160</v>
      </c>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row>
    <row r="16" spans="1:97">
      <c r="E16" s="1" t="s">
        <v>2485</v>
      </c>
      <c r="H16" s="1">
        <v>27</v>
      </c>
      <c r="J16" s="1" t="s">
        <v>2153</v>
      </c>
      <c r="L16" s="4"/>
      <c r="M16" s="5" t="s">
        <v>2011</v>
      </c>
      <c r="N16" s="4" t="s">
        <v>1334</v>
      </c>
      <c r="O16" s="4" t="s">
        <v>2506</v>
      </c>
      <c r="P16" s="5" t="s">
        <v>2828</v>
      </c>
      <c r="Q16" s="4" t="s">
        <v>1423</v>
      </c>
      <c r="R16" s="4" t="s">
        <v>2067</v>
      </c>
      <c r="T16" s="5" t="s">
        <v>526</v>
      </c>
      <c r="U16" s="5" t="s">
        <v>662</v>
      </c>
      <c r="V16" s="5" t="s">
        <v>1702</v>
      </c>
      <c r="W16" s="5" t="s">
        <v>1633</v>
      </c>
      <c r="X16" s="5" t="s">
        <v>739</v>
      </c>
      <c r="Y16" s="5" t="s">
        <v>1522</v>
      </c>
      <c r="Z16" s="5" t="s">
        <v>994</v>
      </c>
      <c r="AA16" s="5" t="s">
        <v>1730</v>
      </c>
      <c r="AB16" s="5" t="s">
        <v>2048</v>
      </c>
      <c r="AC16" s="5" t="s">
        <v>996</v>
      </c>
      <c r="AD16" s="5" t="s">
        <v>1911</v>
      </c>
      <c r="AE16" s="5" t="s">
        <v>1354</v>
      </c>
      <c r="AF16" s="5" t="s">
        <v>370</v>
      </c>
      <c r="AG16" s="5" t="s">
        <v>1343</v>
      </c>
      <c r="AH16" s="5" t="s">
        <v>782</v>
      </c>
      <c r="AI16" s="5" t="s">
        <v>241</v>
      </c>
      <c r="AJ16" s="5" t="s">
        <v>268</v>
      </c>
      <c r="AK16" s="5" t="s">
        <v>477</v>
      </c>
      <c r="AL16" s="5" t="s">
        <v>847</v>
      </c>
      <c r="AM16" s="5" t="s">
        <v>458</v>
      </c>
      <c r="AN16" s="5" t="s">
        <v>688</v>
      </c>
      <c r="AO16" s="5" t="s">
        <v>1201</v>
      </c>
      <c r="AP16" s="5" t="s">
        <v>195</v>
      </c>
      <c r="AQ16" s="5" t="s">
        <v>1246</v>
      </c>
      <c r="AR16" s="5" t="s">
        <v>953</v>
      </c>
      <c r="AS16" s="5" t="s">
        <v>58</v>
      </c>
      <c r="AT16" s="5" t="s">
        <v>1172</v>
      </c>
      <c r="AU16" s="5" t="s">
        <v>388</v>
      </c>
      <c r="AV16" s="5" t="s">
        <v>1312</v>
      </c>
      <c r="AW16" s="5" t="s">
        <v>99</v>
      </c>
      <c r="AX16" s="5" t="s">
        <v>561</v>
      </c>
      <c r="AY16" s="5" t="s">
        <v>1787</v>
      </c>
      <c r="AZ16" s="5" t="s">
        <v>1119</v>
      </c>
      <c r="BA16" s="5" t="s">
        <v>192</v>
      </c>
      <c r="BB16" s="5" t="s">
        <v>655</v>
      </c>
      <c r="BC16" s="5" t="s">
        <v>654</v>
      </c>
      <c r="BD16" s="5" t="s">
        <v>647</v>
      </c>
      <c r="BE16" s="5" t="s">
        <v>2011</v>
      </c>
      <c r="BF16" s="17" t="s">
        <v>2109</v>
      </c>
      <c r="BG16" s="5"/>
      <c r="BH16" s="5"/>
      <c r="BI16" s="48">
        <v>12</v>
      </c>
      <c r="BJ16" s="55" t="s">
        <v>2569</v>
      </c>
      <c r="BK16" s="20" t="s">
        <v>2159</v>
      </c>
      <c r="BL16" s="20" t="s">
        <v>2164</v>
      </c>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row>
    <row r="17" spans="5:97">
      <c r="E17" s="1" t="s">
        <v>2538</v>
      </c>
      <c r="H17" s="1">
        <v>28</v>
      </c>
      <c r="J17" s="1" t="s">
        <v>113</v>
      </c>
      <c r="M17" s="5" t="s">
        <v>2013</v>
      </c>
      <c r="N17" s="4" t="s">
        <v>1385</v>
      </c>
      <c r="O17" s="4" t="s">
        <v>1548</v>
      </c>
      <c r="P17" s="5" t="s">
        <v>2772</v>
      </c>
      <c r="Q17" s="4" t="s">
        <v>1518</v>
      </c>
      <c r="R17" s="4" t="s">
        <v>2068</v>
      </c>
      <c r="T17" s="5" t="s">
        <v>527</v>
      </c>
      <c r="U17" s="5" t="s">
        <v>675</v>
      </c>
      <c r="V17" s="5" t="s">
        <v>683</v>
      </c>
      <c r="W17" s="5" t="s">
        <v>1605</v>
      </c>
      <c r="X17" s="5" t="s">
        <v>699</v>
      </c>
      <c r="Y17" s="5" t="s">
        <v>916</v>
      </c>
      <c r="Z17" s="5" t="s">
        <v>980</v>
      </c>
      <c r="AA17" s="5" t="s">
        <v>720</v>
      </c>
      <c r="AB17" s="5" t="s">
        <v>1328</v>
      </c>
      <c r="AC17" s="5" t="s">
        <v>372</v>
      </c>
      <c r="AD17" s="5" t="s">
        <v>1756</v>
      </c>
      <c r="AE17" s="5" t="s">
        <v>861</v>
      </c>
      <c r="AF17" s="5" t="s">
        <v>386</v>
      </c>
      <c r="AG17" s="5" t="s">
        <v>1899</v>
      </c>
      <c r="AH17" s="5" t="s">
        <v>817</v>
      </c>
      <c r="AI17" s="5" t="s">
        <v>248</v>
      </c>
      <c r="AJ17" s="5" t="s">
        <v>300</v>
      </c>
      <c r="AK17" s="5" t="s">
        <v>497</v>
      </c>
      <c r="AL17" s="5" t="s">
        <v>403</v>
      </c>
      <c r="AM17" s="5" t="s">
        <v>307</v>
      </c>
      <c r="AN17" s="5" t="s">
        <v>919</v>
      </c>
      <c r="AO17" s="5" t="s">
        <v>1202</v>
      </c>
      <c r="AP17" s="5" t="s">
        <v>171</v>
      </c>
      <c r="AQ17" s="5" t="s">
        <v>1278</v>
      </c>
      <c r="AR17" s="5" t="s">
        <v>951</v>
      </c>
      <c r="AS17" s="5" t="s">
        <v>75</v>
      </c>
      <c r="AT17" s="5" t="s">
        <v>1185</v>
      </c>
      <c r="AU17" s="5" t="s">
        <v>87</v>
      </c>
      <c r="AV17" s="5" t="s">
        <v>1314</v>
      </c>
      <c r="AW17" s="5" t="s">
        <v>101</v>
      </c>
      <c r="AX17" s="5" t="s">
        <v>564</v>
      </c>
      <c r="AY17" s="5" t="s">
        <v>1772</v>
      </c>
      <c r="AZ17" s="5" t="s">
        <v>1120</v>
      </c>
      <c r="BA17" s="5" t="s">
        <v>196</v>
      </c>
      <c r="BB17" s="5" t="s">
        <v>669</v>
      </c>
      <c r="BC17" s="5" t="s">
        <v>668</v>
      </c>
      <c r="BD17" s="5" t="s">
        <v>659</v>
      </c>
      <c r="BE17" s="5" t="s">
        <v>2013</v>
      </c>
      <c r="BF17" s="16" t="s">
        <v>2110</v>
      </c>
      <c r="BG17" s="5"/>
      <c r="BH17" s="5"/>
      <c r="BI17" s="48">
        <v>13</v>
      </c>
      <c r="BJ17" s="55" t="s">
        <v>2570</v>
      </c>
      <c r="BK17" s="20" t="s">
        <v>2159</v>
      </c>
      <c r="BL17" s="20" t="s">
        <v>2164</v>
      </c>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row>
    <row r="18" spans="5:97">
      <c r="E18" s="1" t="s">
        <v>2124</v>
      </c>
      <c r="H18" s="1">
        <v>29</v>
      </c>
      <c r="J18" s="1" t="s">
        <v>283</v>
      </c>
      <c r="M18" s="5" t="s">
        <v>2014</v>
      </c>
      <c r="N18" s="4" t="s">
        <v>1367</v>
      </c>
      <c r="O18" s="4" t="s">
        <v>1569</v>
      </c>
      <c r="P18" s="5" t="s">
        <v>2667</v>
      </c>
      <c r="Q18" s="4" t="s">
        <v>1425</v>
      </c>
      <c r="R18" s="4" t="s">
        <v>2069</v>
      </c>
      <c r="T18" s="5" t="s">
        <v>528</v>
      </c>
      <c r="U18" s="5" t="s">
        <v>678</v>
      </c>
      <c r="V18" s="5" t="s">
        <v>692</v>
      </c>
      <c r="W18" s="5" t="s">
        <v>1684</v>
      </c>
      <c r="X18" s="5" t="s">
        <v>743</v>
      </c>
      <c r="Y18" s="5" t="s">
        <v>913</v>
      </c>
      <c r="Z18" s="5" t="s">
        <v>974</v>
      </c>
      <c r="AA18" s="5" t="s">
        <v>1374</v>
      </c>
      <c r="AB18" s="5" t="s">
        <v>627</v>
      </c>
      <c r="AC18" s="5" t="s">
        <v>1064</v>
      </c>
      <c r="AD18" s="5" t="s">
        <v>604</v>
      </c>
      <c r="AE18" s="5" t="s">
        <v>800</v>
      </c>
      <c r="AF18" s="5" t="s">
        <v>1970</v>
      </c>
      <c r="AG18" s="5" t="s">
        <v>1889</v>
      </c>
      <c r="AH18" s="5" t="s">
        <v>1357</v>
      </c>
      <c r="AI18" s="5" t="s">
        <v>251</v>
      </c>
      <c r="AJ18" s="5" t="s">
        <v>270</v>
      </c>
      <c r="AK18" s="5" t="s">
        <v>469</v>
      </c>
      <c r="AL18" s="5" t="s">
        <v>406</v>
      </c>
      <c r="AM18" s="5" t="s">
        <v>345</v>
      </c>
      <c r="AN18" s="5" t="s">
        <v>1018</v>
      </c>
      <c r="AO18" s="5" t="s">
        <v>1203</v>
      </c>
      <c r="AP18" s="5" t="s">
        <v>197</v>
      </c>
      <c r="AQ18" s="5" t="s">
        <v>1265</v>
      </c>
      <c r="AR18" s="5" t="s">
        <v>952</v>
      </c>
      <c r="AS18" s="5" t="s">
        <v>77</v>
      </c>
      <c r="AT18" s="5" t="s">
        <v>1176</v>
      </c>
      <c r="AU18" s="5" t="s">
        <v>939</v>
      </c>
      <c r="AV18" s="5" t="s">
        <v>1310</v>
      </c>
      <c r="AW18" s="5" t="s">
        <v>103</v>
      </c>
      <c r="AX18" s="5" t="s">
        <v>566</v>
      </c>
      <c r="AY18" s="5" t="s">
        <v>1921</v>
      </c>
      <c r="AZ18" s="5" t="s">
        <v>1122</v>
      </c>
      <c r="BA18" s="5"/>
      <c r="BB18" s="5" t="s">
        <v>663</v>
      </c>
      <c r="BC18" s="5" t="s">
        <v>1994</v>
      </c>
      <c r="BD18" s="5" t="s">
        <v>659</v>
      </c>
      <c r="BE18" s="5" t="s">
        <v>2014</v>
      </c>
      <c r="BF18" s="17" t="s">
        <v>2109</v>
      </c>
      <c r="BG18" s="5"/>
      <c r="BH18" s="5"/>
      <c r="BI18" s="48">
        <v>14</v>
      </c>
      <c r="BJ18" s="55" t="s">
        <v>2636</v>
      </c>
      <c r="BK18" s="20" t="s">
        <v>2159</v>
      </c>
      <c r="BL18" s="20" t="s">
        <v>2161</v>
      </c>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row>
    <row r="19" spans="5:97">
      <c r="E19" s="1" t="s">
        <v>2539</v>
      </c>
      <c r="H19" s="1">
        <v>30</v>
      </c>
      <c r="J19" s="1" t="s">
        <v>1575</v>
      </c>
      <c r="M19" s="5" t="s">
        <v>2015</v>
      </c>
      <c r="N19" s="4" t="s">
        <v>1336</v>
      </c>
      <c r="O19" s="4" t="s">
        <v>1550</v>
      </c>
      <c r="P19" s="5" t="s">
        <v>2691</v>
      </c>
      <c r="Q19" s="4" t="s">
        <v>1492</v>
      </c>
      <c r="R19" s="4" t="s">
        <v>2070</v>
      </c>
      <c r="T19" s="5" t="s">
        <v>529</v>
      </c>
      <c r="U19" s="5" t="s">
        <v>674</v>
      </c>
      <c r="V19" s="5" t="s">
        <v>1697</v>
      </c>
      <c r="W19" s="5" t="s">
        <v>1614</v>
      </c>
      <c r="X19" s="5" t="s">
        <v>1972</v>
      </c>
      <c r="Y19" s="5" t="s">
        <v>915</v>
      </c>
      <c r="Z19" s="5" t="s">
        <v>1003</v>
      </c>
      <c r="AA19" s="5" t="s">
        <v>1954</v>
      </c>
      <c r="AB19" s="5" t="s">
        <v>965</v>
      </c>
      <c r="AC19" s="5" t="s">
        <v>1933</v>
      </c>
      <c r="AD19" s="5" t="s">
        <v>1759</v>
      </c>
      <c r="AE19" s="5" t="s">
        <v>794</v>
      </c>
      <c r="AF19" s="5" t="s">
        <v>748</v>
      </c>
      <c r="AG19" s="5" t="s">
        <v>1886</v>
      </c>
      <c r="AH19" s="5" t="s">
        <v>1360</v>
      </c>
      <c r="AI19" s="5" t="s">
        <v>253</v>
      </c>
      <c r="AJ19" s="5" t="s">
        <v>1187</v>
      </c>
      <c r="AK19" s="5" t="s">
        <v>507</v>
      </c>
      <c r="AL19" s="5" t="s">
        <v>380</v>
      </c>
      <c r="AM19" s="5" t="s">
        <v>334</v>
      </c>
      <c r="AN19" s="5" t="s">
        <v>1010</v>
      </c>
      <c r="AO19" s="5" t="s">
        <v>1204</v>
      </c>
      <c r="AP19" s="5" t="s">
        <v>178</v>
      </c>
      <c r="AQ19" s="5" t="s">
        <v>1259</v>
      </c>
      <c r="AR19" s="5" t="s">
        <v>1039</v>
      </c>
      <c r="AS19" s="5" t="s">
        <v>67</v>
      </c>
      <c r="AT19" s="5" t="s">
        <v>1160</v>
      </c>
      <c r="AU19" s="5" t="s">
        <v>979</v>
      </c>
      <c r="AV19" s="5" t="s">
        <v>1317</v>
      </c>
      <c r="AW19" s="5" t="s">
        <v>105</v>
      </c>
      <c r="AX19" s="5" t="s">
        <v>630</v>
      </c>
      <c r="AY19" s="5" t="s">
        <v>1871</v>
      </c>
      <c r="AZ19" s="5" t="s">
        <v>1124</v>
      </c>
      <c r="BA19" s="5"/>
      <c r="BB19" s="5" t="s">
        <v>667</v>
      </c>
      <c r="BC19" s="5" t="s">
        <v>666</v>
      </c>
      <c r="BD19" s="5" t="s">
        <v>659</v>
      </c>
      <c r="BE19" s="5" t="s">
        <v>2015</v>
      </c>
      <c r="BF19" s="16" t="s">
        <v>2110</v>
      </c>
      <c r="BG19" s="5"/>
      <c r="BH19" s="5"/>
      <c r="BI19" s="48">
        <v>15</v>
      </c>
      <c r="BJ19" s="55" t="s">
        <v>2615</v>
      </c>
      <c r="BK19" s="20" t="s">
        <v>2165</v>
      </c>
      <c r="BL19" s="20" t="s">
        <v>2166</v>
      </c>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row>
    <row r="20" spans="5:97">
      <c r="E20" s="1" t="s">
        <v>2125</v>
      </c>
      <c r="H20" s="1">
        <v>31</v>
      </c>
      <c r="J20" s="1" t="s">
        <v>1080</v>
      </c>
      <c r="M20" s="5" t="s">
        <v>2016</v>
      </c>
      <c r="N20" s="4" t="s">
        <v>1378</v>
      </c>
      <c r="O20" s="4" t="s">
        <v>1553</v>
      </c>
      <c r="P20" s="5" t="s">
        <v>2777</v>
      </c>
      <c r="Q20" s="4" t="s">
        <v>1427</v>
      </c>
      <c r="R20" s="4" t="s">
        <v>2071</v>
      </c>
      <c r="T20" s="5" t="s">
        <v>530</v>
      </c>
      <c r="U20" s="5" t="s">
        <v>638</v>
      </c>
      <c r="V20" s="5" t="s">
        <v>1389</v>
      </c>
      <c r="W20" s="5" t="s">
        <v>1626</v>
      </c>
      <c r="X20" s="5" t="s">
        <v>1984</v>
      </c>
      <c r="Y20" s="5" t="s">
        <v>876</v>
      </c>
      <c r="Z20" s="5" t="s">
        <v>969</v>
      </c>
      <c r="AA20" s="5" t="s">
        <v>1716</v>
      </c>
      <c r="AB20" s="5" t="s">
        <v>580</v>
      </c>
      <c r="AC20" s="5" t="s">
        <v>853</v>
      </c>
      <c r="AD20" s="5" t="s">
        <v>599</v>
      </c>
      <c r="AE20" s="5" t="s">
        <v>830</v>
      </c>
      <c r="AF20" s="5" t="s">
        <v>761</v>
      </c>
      <c r="AG20" s="5" t="s">
        <v>1777</v>
      </c>
      <c r="AH20" s="5" t="s">
        <v>783</v>
      </c>
      <c r="AI20" s="5" t="s">
        <v>261</v>
      </c>
      <c r="AJ20" s="5" t="s">
        <v>1188</v>
      </c>
      <c r="AK20" s="5" t="s">
        <v>503</v>
      </c>
      <c r="AL20" s="5" t="s">
        <v>420</v>
      </c>
      <c r="AM20" s="5" t="s">
        <v>349</v>
      </c>
      <c r="AN20" s="5" t="s">
        <v>1020</v>
      </c>
      <c r="AO20" s="5" t="s">
        <v>1205</v>
      </c>
      <c r="AP20" s="5"/>
      <c r="AQ20" s="5" t="s">
        <v>1264</v>
      </c>
      <c r="AR20" s="5" t="s">
        <v>950</v>
      </c>
      <c r="AS20" s="5" t="s">
        <v>69</v>
      </c>
      <c r="AT20" s="5" t="s">
        <v>1150</v>
      </c>
      <c r="AU20" s="5" t="s">
        <v>943</v>
      </c>
      <c r="AV20" s="5" t="s">
        <v>1307</v>
      </c>
      <c r="AW20" s="5" t="s">
        <v>107</v>
      </c>
      <c r="AX20" s="5" t="s">
        <v>555</v>
      </c>
      <c r="AY20" s="5" t="s">
        <v>698</v>
      </c>
      <c r="AZ20" s="5" t="s">
        <v>1126</v>
      </c>
      <c r="BA20" s="5"/>
      <c r="BB20" s="5" t="s">
        <v>662</v>
      </c>
      <c r="BC20" s="5" t="s">
        <v>661</v>
      </c>
      <c r="BD20" s="5" t="s">
        <v>659</v>
      </c>
      <c r="BE20" s="5" t="s">
        <v>2016</v>
      </c>
      <c r="BF20" s="16" t="s">
        <v>2110</v>
      </c>
      <c r="BG20" s="5"/>
      <c r="BH20" s="5"/>
      <c r="BI20" s="48">
        <v>16</v>
      </c>
      <c r="BJ20" s="55" t="s">
        <v>2507</v>
      </c>
      <c r="BK20" s="20" t="s">
        <v>2165</v>
      </c>
      <c r="BL20" s="20" t="s">
        <v>2166</v>
      </c>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row>
    <row r="21" spans="5:97">
      <c r="E21" s="1" t="s">
        <v>2450</v>
      </c>
      <c r="H21" s="1">
        <v>32</v>
      </c>
      <c r="J21" s="1" t="s">
        <v>2154</v>
      </c>
      <c r="M21" s="5" t="s">
        <v>2017</v>
      </c>
      <c r="N21" s="4" t="s">
        <v>1387</v>
      </c>
      <c r="O21" s="4" t="s">
        <v>1564</v>
      </c>
      <c r="P21" s="5" t="s">
        <v>2784</v>
      </c>
      <c r="Q21" s="4" t="s">
        <v>1481</v>
      </c>
      <c r="R21" s="4" t="s">
        <v>2072</v>
      </c>
      <c r="T21" s="5" t="s">
        <v>531</v>
      </c>
      <c r="U21" s="5" t="s">
        <v>1337</v>
      </c>
      <c r="V21" s="5" t="s">
        <v>681</v>
      </c>
      <c r="W21" s="5" t="s">
        <v>1653</v>
      </c>
      <c r="X21" s="5" t="s">
        <v>395</v>
      </c>
      <c r="Y21" s="5"/>
      <c r="Z21" s="5" t="s">
        <v>1024</v>
      </c>
      <c r="AA21" s="5" t="s">
        <v>712</v>
      </c>
      <c r="AB21" s="5" t="s">
        <v>1322</v>
      </c>
      <c r="AC21" s="5" t="s">
        <v>777</v>
      </c>
      <c r="AD21" s="5" t="s">
        <v>606</v>
      </c>
      <c r="AE21" s="5" t="s">
        <v>1358</v>
      </c>
      <c r="AF21" s="5" t="s">
        <v>319</v>
      </c>
      <c r="AG21" s="5" t="s">
        <v>1917</v>
      </c>
      <c r="AH21" s="5" t="s">
        <v>824</v>
      </c>
      <c r="AI21" s="5" t="s">
        <v>303</v>
      </c>
      <c r="AJ21" s="5" t="s">
        <v>297</v>
      </c>
      <c r="AK21" s="5" t="s">
        <v>505</v>
      </c>
      <c r="AL21" s="5" t="s">
        <v>479</v>
      </c>
      <c r="AM21" s="5" t="s">
        <v>329</v>
      </c>
      <c r="AN21" s="5"/>
      <c r="AO21" s="5" t="s">
        <v>1206</v>
      </c>
      <c r="AP21" s="5"/>
      <c r="AQ21" s="5" t="s">
        <v>1235</v>
      </c>
      <c r="AR21" s="5" t="s">
        <v>955</v>
      </c>
      <c r="AS21" s="5" t="s">
        <v>90</v>
      </c>
      <c r="AT21" s="5" t="s">
        <v>1184</v>
      </c>
      <c r="AU21" s="5" t="s">
        <v>1061</v>
      </c>
      <c r="AV21" s="5" t="s">
        <v>1308</v>
      </c>
      <c r="AW21" s="5" t="s">
        <v>109</v>
      </c>
      <c r="AX21" s="5" t="s">
        <v>635</v>
      </c>
      <c r="AY21" s="5" t="s">
        <v>1774</v>
      </c>
      <c r="AZ21" s="5" t="s">
        <v>1090</v>
      </c>
      <c r="BA21" s="5"/>
      <c r="BB21" s="5" t="s">
        <v>660</v>
      </c>
      <c r="BC21" s="5" t="s">
        <v>659</v>
      </c>
      <c r="BD21" s="5" t="s">
        <v>659</v>
      </c>
      <c r="BE21" s="5" t="s">
        <v>2017</v>
      </c>
      <c r="BF21" s="16" t="s">
        <v>2110</v>
      </c>
      <c r="BG21" s="5"/>
      <c r="BH21" s="5"/>
      <c r="BI21" s="48">
        <v>17</v>
      </c>
      <c r="BJ21" s="55" t="s">
        <v>2230</v>
      </c>
      <c r="BK21" s="20" t="s">
        <v>2165</v>
      </c>
      <c r="BL21" s="20" t="s">
        <v>2167</v>
      </c>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row>
    <row r="22" spans="5:97">
      <c r="E22" s="1" t="s">
        <v>2540</v>
      </c>
      <c r="H22" s="1">
        <v>33</v>
      </c>
      <c r="J22" s="1" t="s">
        <v>15</v>
      </c>
      <c r="M22" s="5" t="s">
        <v>2020</v>
      </c>
      <c r="N22" s="4" t="s">
        <v>1519</v>
      </c>
      <c r="O22" s="4" t="s">
        <v>1555</v>
      </c>
      <c r="P22" s="5" t="s">
        <v>2694</v>
      </c>
      <c r="Q22" s="4" t="s">
        <v>1429</v>
      </c>
      <c r="R22" s="4" t="s">
        <v>2073</v>
      </c>
      <c r="T22" s="5" t="s">
        <v>532</v>
      </c>
      <c r="U22" s="5" t="s">
        <v>649</v>
      </c>
      <c r="V22" s="5" t="s">
        <v>1594</v>
      </c>
      <c r="W22" s="5" t="s">
        <v>1688</v>
      </c>
      <c r="X22" s="5" t="s">
        <v>737</v>
      </c>
      <c r="Y22" s="5"/>
      <c r="Z22" s="5" t="s">
        <v>923</v>
      </c>
      <c r="AA22" s="5" t="s">
        <v>1730</v>
      </c>
      <c r="AB22" s="5" t="s">
        <v>621</v>
      </c>
      <c r="AC22" s="5" t="s">
        <v>996</v>
      </c>
      <c r="AD22" s="5" t="s">
        <v>598</v>
      </c>
      <c r="AE22" s="5" t="s">
        <v>1361</v>
      </c>
      <c r="AF22" s="5" t="s">
        <v>1943</v>
      </c>
      <c r="AG22" s="5" t="s">
        <v>1900</v>
      </c>
      <c r="AH22" s="5" t="s">
        <v>789</v>
      </c>
      <c r="AI22" s="5" t="s">
        <v>1051</v>
      </c>
      <c r="AJ22" s="5" t="s">
        <v>290</v>
      </c>
      <c r="AK22" s="5" t="s">
        <v>495</v>
      </c>
      <c r="AL22" s="5" t="s">
        <v>352</v>
      </c>
      <c r="AM22" s="5" t="s">
        <v>342</v>
      </c>
      <c r="AN22" s="5"/>
      <c r="AO22" s="5" t="s">
        <v>891</v>
      </c>
      <c r="AP22" s="5"/>
      <c r="AQ22" s="5" t="s">
        <v>1237</v>
      </c>
      <c r="AR22" s="5" t="s">
        <v>389</v>
      </c>
      <c r="AS22" s="5" t="s">
        <v>65</v>
      </c>
      <c r="AT22" s="5" t="s">
        <v>1170</v>
      </c>
      <c r="AU22" s="5" t="s">
        <v>941</v>
      </c>
      <c r="AV22" s="5" t="s">
        <v>1316</v>
      </c>
      <c r="AW22" s="5" t="s">
        <v>153</v>
      </c>
      <c r="AX22" s="5" t="s">
        <v>556</v>
      </c>
      <c r="AY22" s="5" t="s">
        <v>1195</v>
      </c>
      <c r="AZ22" s="5" t="s">
        <v>1109</v>
      </c>
      <c r="BA22" s="5"/>
      <c r="BB22" s="5" t="s">
        <v>670</v>
      </c>
      <c r="BC22" s="5" t="s">
        <v>659</v>
      </c>
      <c r="BD22" s="5" t="s">
        <v>659</v>
      </c>
      <c r="BE22" s="5" t="s">
        <v>2020</v>
      </c>
      <c r="BF22" s="16" t="s">
        <v>2110</v>
      </c>
      <c r="BG22" s="5"/>
      <c r="BH22" s="5"/>
      <c r="BI22" s="48">
        <v>18</v>
      </c>
      <c r="BJ22" s="55" t="s">
        <v>2571</v>
      </c>
      <c r="BK22" s="20" t="s">
        <v>2165</v>
      </c>
      <c r="BL22" s="20" t="s">
        <v>2167</v>
      </c>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row>
    <row r="23" spans="5:97">
      <c r="E23" s="1" t="s">
        <v>2482</v>
      </c>
      <c r="H23" s="1">
        <v>34</v>
      </c>
      <c r="J23" s="1" t="s">
        <v>23</v>
      </c>
      <c r="M23" s="5" t="s">
        <v>2023</v>
      </c>
      <c r="N23" s="4" t="s">
        <v>1521</v>
      </c>
      <c r="O23" s="4" t="s">
        <v>1566</v>
      </c>
      <c r="P23" s="5" t="s">
        <v>2754</v>
      </c>
      <c r="Q23" s="4" t="s">
        <v>1430</v>
      </c>
      <c r="R23" s="4" t="s">
        <v>2074</v>
      </c>
      <c r="T23" s="5" t="s">
        <v>533</v>
      </c>
      <c r="U23" s="5" t="s">
        <v>1593</v>
      </c>
      <c r="V23" s="5" t="s">
        <v>2612</v>
      </c>
      <c r="W23" s="5" t="s">
        <v>1652</v>
      </c>
      <c r="X23" s="5" t="s">
        <v>1545</v>
      </c>
      <c r="Y23" s="5"/>
      <c r="Z23" s="5" t="s">
        <v>984</v>
      </c>
      <c r="AA23" s="5" t="s">
        <v>720</v>
      </c>
      <c r="AB23" s="5" t="s">
        <v>957</v>
      </c>
      <c r="AC23" s="5" t="s">
        <v>1355</v>
      </c>
      <c r="AD23" s="5" t="s">
        <v>611</v>
      </c>
      <c r="AE23" s="5" t="s">
        <v>773</v>
      </c>
      <c r="AF23" s="5" t="s">
        <v>2613</v>
      </c>
      <c r="AG23" s="5" t="s">
        <v>392</v>
      </c>
      <c r="AH23" s="5" t="s">
        <v>784</v>
      </c>
      <c r="AI23" s="5" t="s">
        <v>1050</v>
      </c>
      <c r="AJ23" s="5" t="s">
        <v>294</v>
      </c>
      <c r="AK23" s="5" t="s">
        <v>474</v>
      </c>
      <c r="AL23" s="5" t="s">
        <v>839</v>
      </c>
      <c r="AM23" s="5" t="s">
        <v>490</v>
      </c>
      <c r="AN23" s="5"/>
      <c r="AO23" s="5" t="s">
        <v>895</v>
      </c>
      <c r="AP23" s="5"/>
      <c r="AQ23" s="5" t="s">
        <v>1253</v>
      </c>
      <c r="AR23" s="5" t="s">
        <v>945</v>
      </c>
      <c r="AS23" s="5" t="s">
        <v>1376</v>
      </c>
      <c r="AT23" s="5" t="s">
        <v>1182</v>
      </c>
      <c r="AU23" s="5" t="s">
        <v>32</v>
      </c>
      <c r="AV23" s="5" t="s">
        <v>1319</v>
      </c>
      <c r="AW23" s="5" t="s">
        <v>114</v>
      </c>
      <c r="AX23" s="5" t="s">
        <v>562</v>
      </c>
      <c r="AY23" s="5" t="s">
        <v>1194</v>
      </c>
      <c r="AZ23" s="5" t="s">
        <v>1084</v>
      </c>
      <c r="BA23" s="5"/>
      <c r="BB23" s="5" t="s">
        <v>1593</v>
      </c>
      <c r="BC23" s="5" t="s">
        <v>659</v>
      </c>
      <c r="BD23" s="5" t="s">
        <v>659</v>
      </c>
      <c r="BE23" s="5" t="s">
        <v>2023</v>
      </c>
      <c r="BF23" s="16" t="s">
        <v>2110</v>
      </c>
      <c r="BG23" s="5"/>
      <c r="BH23" s="5"/>
      <c r="BI23" s="48">
        <v>19</v>
      </c>
      <c r="BJ23" s="55" t="s">
        <v>2639</v>
      </c>
      <c r="BK23" s="20" t="s">
        <v>2165</v>
      </c>
      <c r="BL23" s="20" t="s">
        <v>2167</v>
      </c>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row>
    <row r="24" spans="5:97">
      <c r="E24" s="1" t="s">
        <v>2541</v>
      </c>
      <c r="H24" s="1">
        <v>35</v>
      </c>
      <c r="M24" s="5" t="s">
        <v>2024</v>
      </c>
      <c r="N24" s="4" t="s">
        <v>1373</v>
      </c>
      <c r="O24" s="4" t="s">
        <v>1549</v>
      </c>
      <c r="P24" s="5" t="s">
        <v>2797</v>
      </c>
      <c r="Q24" s="4" t="s">
        <v>1431</v>
      </c>
      <c r="R24" s="4" t="s">
        <v>2075</v>
      </c>
      <c r="T24" s="5" t="s">
        <v>534</v>
      </c>
      <c r="U24" s="5" t="s">
        <v>672</v>
      </c>
      <c r="V24" s="5" t="s">
        <v>692</v>
      </c>
      <c r="W24" s="5" t="s">
        <v>1686</v>
      </c>
      <c r="X24" s="5" t="s">
        <v>1972</v>
      </c>
      <c r="Y24" s="5"/>
      <c r="Z24" s="5" t="s">
        <v>1012</v>
      </c>
      <c r="AA24" s="5" t="s">
        <v>1057</v>
      </c>
      <c r="AB24" s="5" t="s">
        <v>613</v>
      </c>
      <c r="AC24" s="5" t="s">
        <v>860</v>
      </c>
      <c r="AD24" s="5" t="s">
        <v>1341</v>
      </c>
      <c r="AE24" s="5" t="s">
        <v>1359</v>
      </c>
      <c r="AF24" s="5" t="s">
        <v>864</v>
      </c>
      <c r="AG24" s="5" t="s">
        <v>1339</v>
      </c>
      <c r="AH24" s="5" t="s">
        <v>1345</v>
      </c>
      <c r="AI24" s="5" t="s">
        <v>257</v>
      </c>
      <c r="AJ24" s="5" t="s">
        <v>299</v>
      </c>
      <c r="AK24" s="5" t="s">
        <v>501</v>
      </c>
      <c r="AL24" s="5" t="s">
        <v>847</v>
      </c>
      <c r="AM24" s="5" t="s">
        <v>431</v>
      </c>
      <c r="AN24" s="5"/>
      <c r="AO24" s="5" t="s">
        <v>899</v>
      </c>
      <c r="AP24" s="5"/>
      <c r="AQ24" s="5" t="s">
        <v>1266</v>
      </c>
      <c r="AR24" s="5" t="s">
        <v>24</v>
      </c>
      <c r="AS24" s="5" t="s">
        <v>60</v>
      </c>
      <c r="AT24" s="5" t="s">
        <v>1146</v>
      </c>
      <c r="AU24" s="5"/>
      <c r="AV24" s="5" t="s">
        <v>1321</v>
      </c>
      <c r="AW24" s="5" t="s">
        <v>151</v>
      </c>
      <c r="AX24" s="5" t="s">
        <v>552</v>
      </c>
      <c r="AY24" s="5" t="s">
        <v>1770</v>
      </c>
      <c r="AZ24" s="5" t="s">
        <v>1520</v>
      </c>
      <c r="BA24" s="5"/>
      <c r="BB24" s="5" t="s">
        <v>1999</v>
      </c>
      <c r="BC24" s="5" t="s">
        <v>659</v>
      </c>
      <c r="BD24" s="5" t="s">
        <v>659</v>
      </c>
      <c r="BE24" s="5" t="s">
        <v>2024</v>
      </c>
      <c r="BF24" s="18" t="s">
        <v>2108</v>
      </c>
      <c r="BG24" s="5"/>
      <c r="BH24" s="5"/>
      <c r="BI24" s="48">
        <v>20</v>
      </c>
      <c r="BJ24" s="55" t="s">
        <v>2641</v>
      </c>
      <c r="BK24" s="20" t="s">
        <v>2165</v>
      </c>
      <c r="BL24" s="20" t="s">
        <v>2166</v>
      </c>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row>
    <row r="25" spans="5:97">
      <c r="E25" s="1" t="s">
        <v>2126</v>
      </c>
      <c r="H25" s="1">
        <v>36</v>
      </c>
      <c r="K25" s="21" t="s">
        <v>2141</v>
      </c>
      <c r="M25" s="5" t="s">
        <v>2031</v>
      </c>
      <c r="N25" s="4" t="s">
        <v>1380</v>
      </c>
      <c r="O25" s="4" t="s">
        <v>1563</v>
      </c>
      <c r="P25" s="5" t="s">
        <v>2697</v>
      </c>
      <c r="Q25" s="4" t="s">
        <v>1432</v>
      </c>
      <c r="R25" s="4" t="s">
        <v>2076</v>
      </c>
      <c r="T25" s="5" t="s">
        <v>535</v>
      </c>
      <c r="U25" s="5" t="s">
        <v>639</v>
      </c>
      <c r="V25" s="5" t="s">
        <v>1697</v>
      </c>
      <c r="W25" s="5" t="s">
        <v>1630</v>
      </c>
      <c r="X25" s="5" t="s">
        <v>1984</v>
      </c>
      <c r="Y25" s="5"/>
      <c r="Z25" s="5" t="s">
        <v>26</v>
      </c>
      <c r="AA25" s="5" t="s">
        <v>714</v>
      </c>
      <c r="AB25" s="5" t="s">
        <v>376</v>
      </c>
      <c r="AC25" s="5" t="s">
        <v>1939</v>
      </c>
      <c r="AD25" s="5" t="s">
        <v>1914</v>
      </c>
      <c r="AE25" s="5" t="s">
        <v>834</v>
      </c>
      <c r="AF25" s="5" t="s">
        <v>865</v>
      </c>
      <c r="AG25" s="5" t="s">
        <v>1542</v>
      </c>
      <c r="AH25" s="5" t="s">
        <v>823</v>
      </c>
      <c r="AI25" s="5" t="s">
        <v>222</v>
      </c>
      <c r="AJ25" s="5" t="s">
        <v>298</v>
      </c>
      <c r="AK25" s="5"/>
      <c r="AL25" s="5" t="s">
        <v>403</v>
      </c>
      <c r="AM25" s="5" t="s">
        <v>447</v>
      </c>
      <c r="AN25" s="5"/>
      <c r="AO25" s="5" t="s">
        <v>901</v>
      </c>
      <c r="AP25" s="5"/>
      <c r="AQ25" s="5" t="s">
        <v>1257</v>
      </c>
      <c r="AR25" s="5"/>
      <c r="AS25" s="5" t="s">
        <v>1377</v>
      </c>
      <c r="AT25" s="5" t="s">
        <v>1174</v>
      </c>
      <c r="AU25" s="5"/>
      <c r="AV25" s="5" t="s">
        <v>2560</v>
      </c>
      <c r="AW25" s="5" t="s">
        <v>135</v>
      </c>
      <c r="AX25" s="5" t="s">
        <v>618</v>
      </c>
      <c r="AY25" s="5" t="s">
        <v>1922</v>
      </c>
      <c r="AZ25" s="5" t="s">
        <v>1131</v>
      </c>
      <c r="BA25" s="5"/>
      <c r="BB25" s="5" t="s">
        <v>1337</v>
      </c>
      <c r="BC25" s="5" t="s">
        <v>659</v>
      </c>
      <c r="BD25" s="5" t="s">
        <v>659</v>
      </c>
      <c r="BE25" s="5" t="s">
        <v>2031</v>
      </c>
      <c r="BF25" s="13" t="s">
        <v>2106</v>
      </c>
      <c r="BG25" s="5"/>
      <c r="BH25" s="5"/>
      <c r="BI25" s="48">
        <v>21</v>
      </c>
      <c r="BJ25" s="55" t="s">
        <v>2229</v>
      </c>
      <c r="BK25" s="20" t="s">
        <v>2165</v>
      </c>
      <c r="BL25" s="20" t="s">
        <v>2166</v>
      </c>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row>
    <row r="26" spans="5:97">
      <c r="E26" s="1" t="s">
        <v>2628</v>
      </c>
      <c r="H26" s="1">
        <v>37</v>
      </c>
      <c r="K26" s="5" t="s">
        <v>2492</v>
      </c>
      <c r="M26" s="5" t="s">
        <v>2032</v>
      </c>
      <c r="N26" s="4" t="s">
        <v>1338</v>
      </c>
      <c r="O26" s="4" t="s">
        <v>2498</v>
      </c>
      <c r="P26" s="5" t="s">
        <v>2829</v>
      </c>
      <c r="Q26" s="4" t="s">
        <v>1433</v>
      </c>
      <c r="R26" s="4" t="s">
        <v>2077</v>
      </c>
      <c r="T26" s="5" t="s">
        <v>536</v>
      </c>
      <c r="U26" s="5" t="s">
        <v>646</v>
      </c>
      <c r="V26" s="5" t="s">
        <v>1666</v>
      </c>
      <c r="W26" s="5" t="s">
        <v>1607</v>
      </c>
      <c r="X26" s="5" t="s">
        <v>1974</v>
      </c>
      <c r="Y26" s="5"/>
      <c r="Z26" s="5" t="s">
        <v>1060</v>
      </c>
      <c r="AA26" s="5" t="s">
        <v>1063</v>
      </c>
      <c r="AB26" s="5" t="s">
        <v>3</v>
      </c>
      <c r="AC26" s="5" t="s">
        <v>1941</v>
      </c>
      <c r="AD26" s="5" t="s">
        <v>1915</v>
      </c>
      <c r="AE26" s="5" t="s">
        <v>1351</v>
      </c>
      <c r="AF26" s="5" t="s">
        <v>866</v>
      </c>
      <c r="AG26" s="5" t="s">
        <v>1777</v>
      </c>
      <c r="AH26" s="5" t="s">
        <v>791</v>
      </c>
      <c r="AI26" s="5" t="s">
        <v>245</v>
      </c>
      <c r="AJ26" s="5" t="s">
        <v>291</v>
      </c>
      <c r="AK26" s="5"/>
      <c r="AL26" s="5" t="s">
        <v>485</v>
      </c>
      <c r="AM26" s="5" t="s">
        <v>454</v>
      </c>
      <c r="AN26" s="5"/>
      <c r="AO26" s="5" t="s">
        <v>903</v>
      </c>
      <c r="AP26" s="5"/>
      <c r="AQ26" s="5" t="s">
        <v>1255</v>
      </c>
      <c r="AR26" s="5"/>
      <c r="AS26" s="5" t="s">
        <v>89</v>
      </c>
      <c r="AT26" s="5" t="s">
        <v>1180</v>
      </c>
      <c r="AU26" s="5"/>
      <c r="AV26" s="5" t="s">
        <v>1384</v>
      </c>
      <c r="AW26" s="5" t="s">
        <v>152</v>
      </c>
      <c r="AX26" s="5" t="s">
        <v>619</v>
      </c>
      <c r="AY26" s="5" t="s">
        <v>1874</v>
      </c>
      <c r="AZ26" s="5" t="s">
        <v>1127</v>
      </c>
      <c r="BA26" s="5"/>
      <c r="BB26" s="5" t="s">
        <v>665</v>
      </c>
      <c r="BC26" s="5" t="s">
        <v>664</v>
      </c>
      <c r="BD26" s="5" t="s">
        <v>659</v>
      </c>
      <c r="BE26" s="5" t="s">
        <v>2032</v>
      </c>
      <c r="BF26" s="13" t="s">
        <v>2106</v>
      </c>
      <c r="BG26" s="5"/>
      <c r="BH26" s="5"/>
      <c r="BI26" s="48">
        <v>22</v>
      </c>
      <c r="BJ26" s="55" t="s">
        <v>2388</v>
      </c>
      <c r="BK26" s="20" t="s">
        <v>2165</v>
      </c>
      <c r="BL26" s="20" t="s">
        <v>2166</v>
      </c>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row>
    <row r="27" spans="5:97">
      <c r="E27" s="1" t="s">
        <v>2542</v>
      </c>
      <c r="H27" s="1">
        <v>38</v>
      </c>
      <c r="K27" s="1" t="s">
        <v>2121</v>
      </c>
      <c r="M27" s="5" t="s">
        <v>2034</v>
      </c>
      <c r="N27" s="4" t="s">
        <v>1375</v>
      </c>
      <c r="O27" s="4" t="s">
        <v>2499</v>
      </c>
      <c r="P27" s="5" t="s">
        <v>2802</v>
      </c>
      <c r="Q27" s="4" t="s">
        <v>1434</v>
      </c>
      <c r="R27" s="4" t="s">
        <v>2078</v>
      </c>
      <c r="T27" s="5" t="s">
        <v>537</v>
      </c>
      <c r="U27" s="5" t="s">
        <v>653</v>
      </c>
      <c r="V27" s="5" t="s">
        <v>1709</v>
      </c>
      <c r="W27" s="5" t="s">
        <v>1619</v>
      </c>
      <c r="X27" s="5" t="s">
        <v>710</v>
      </c>
      <c r="Y27" s="5"/>
      <c r="Z27" s="5" t="s">
        <v>988</v>
      </c>
      <c r="AA27" s="5" t="s">
        <v>722</v>
      </c>
      <c r="AB27" s="5" t="s">
        <v>2052</v>
      </c>
      <c r="AC27" s="5" t="s">
        <v>1079</v>
      </c>
      <c r="AD27" s="5" t="s">
        <v>602</v>
      </c>
      <c r="AE27" s="5" t="s">
        <v>775</v>
      </c>
      <c r="AF27" s="5" t="s">
        <v>1951</v>
      </c>
      <c r="AG27" s="5" t="s">
        <v>1917</v>
      </c>
      <c r="AH27" s="5" t="s">
        <v>1930</v>
      </c>
      <c r="AI27" s="5" t="s">
        <v>234</v>
      </c>
      <c r="AJ27" s="5" t="s">
        <v>288</v>
      </c>
      <c r="AK27" s="5"/>
      <c r="AL27" s="5" t="s">
        <v>365</v>
      </c>
      <c r="AM27" s="5" t="s">
        <v>1350</v>
      </c>
      <c r="AN27" s="5"/>
      <c r="AO27" s="5" t="s">
        <v>906</v>
      </c>
      <c r="AP27" s="5"/>
      <c r="AQ27" s="5" t="s">
        <v>1270</v>
      </c>
      <c r="AR27" s="5"/>
      <c r="AS27" s="5" t="s">
        <v>91</v>
      </c>
      <c r="AT27" s="5" t="s">
        <v>1524</v>
      </c>
      <c r="AU27" s="5"/>
      <c r="AV27" s="5" t="s">
        <v>1383</v>
      </c>
      <c r="AW27" s="5" t="s">
        <v>133</v>
      </c>
      <c r="AX27" s="5" t="s">
        <v>632</v>
      </c>
      <c r="AY27" s="5" t="s">
        <v>1765</v>
      </c>
      <c r="AZ27" s="5" t="s">
        <v>1133</v>
      </c>
      <c r="BA27" s="5"/>
      <c r="BB27" s="5" t="s">
        <v>677</v>
      </c>
      <c r="BC27" s="5" t="s">
        <v>676</v>
      </c>
      <c r="BD27" s="5" t="s">
        <v>656</v>
      </c>
      <c r="BE27" s="5" t="s">
        <v>2034</v>
      </c>
      <c r="BF27" s="13" t="s">
        <v>2106</v>
      </c>
      <c r="BG27" s="5"/>
      <c r="BH27" s="5"/>
      <c r="BI27" s="48">
        <v>23</v>
      </c>
      <c r="BJ27" s="55" t="s">
        <v>2617</v>
      </c>
      <c r="BK27" s="20" t="s">
        <v>2165</v>
      </c>
      <c r="BL27" s="20" t="s">
        <v>2166</v>
      </c>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row>
    <row r="28" spans="5:97">
      <c r="E28" s="1" t="s">
        <v>2127</v>
      </c>
      <c r="H28" s="1">
        <v>39</v>
      </c>
      <c r="K28" s="1" t="s">
        <v>2122</v>
      </c>
      <c r="M28" s="5" t="s">
        <v>2035</v>
      </c>
      <c r="N28" s="4" t="s">
        <v>1523</v>
      </c>
      <c r="O28" s="4" t="s">
        <v>2500</v>
      </c>
      <c r="P28" s="5" t="s">
        <v>2810</v>
      </c>
      <c r="Q28" s="4" t="s">
        <v>1435</v>
      </c>
      <c r="R28" s="4" t="s">
        <v>2079</v>
      </c>
      <c r="T28" s="5" t="s">
        <v>538</v>
      </c>
      <c r="U28" s="5" t="s">
        <v>658</v>
      </c>
      <c r="V28" s="5" t="s">
        <v>1707</v>
      </c>
      <c r="W28" s="5" t="s">
        <v>1638</v>
      </c>
      <c r="X28" s="5" t="s">
        <v>1978</v>
      </c>
      <c r="Y28" s="5"/>
      <c r="Z28" s="5" t="s">
        <v>1001</v>
      </c>
      <c r="AA28" s="5" t="s">
        <v>1747</v>
      </c>
      <c r="AB28" s="5" t="s">
        <v>580</v>
      </c>
      <c r="AC28" s="5" t="s">
        <v>1356</v>
      </c>
      <c r="AD28" s="5"/>
      <c r="AE28" s="5" t="s">
        <v>808</v>
      </c>
      <c r="AF28" s="5" t="s">
        <v>368</v>
      </c>
      <c r="AG28" s="5" t="s">
        <v>1900</v>
      </c>
      <c r="AH28" s="5" t="s">
        <v>787</v>
      </c>
      <c r="AI28" s="5" t="s">
        <v>237</v>
      </c>
      <c r="AJ28" s="5" t="s">
        <v>271</v>
      </c>
      <c r="AK28" s="5"/>
      <c r="AL28" s="5" t="s">
        <v>1362</v>
      </c>
      <c r="AM28" s="5" t="s">
        <v>508</v>
      </c>
      <c r="AN28" s="5"/>
      <c r="AO28" s="5" t="s">
        <v>1211</v>
      </c>
      <c r="AP28" s="5"/>
      <c r="AQ28" s="5" t="s">
        <v>1263</v>
      </c>
      <c r="AR28" s="5"/>
      <c r="AS28" s="5" t="s">
        <v>86</v>
      </c>
      <c r="AT28" s="5" t="s">
        <v>1526</v>
      </c>
      <c r="AU28" s="5"/>
      <c r="AV28" s="5" t="s">
        <v>155</v>
      </c>
      <c r="AW28" s="5" t="s">
        <v>112</v>
      </c>
      <c r="AX28" s="5" t="s">
        <v>628</v>
      </c>
      <c r="AY28" s="5" t="s">
        <v>1925</v>
      </c>
      <c r="AZ28" s="5" t="s">
        <v>1096</v>
      </c>
      <c r="BA28" s="5"/>
      <c r="BB28" s="5" t="s">
        <v>675</v>
      </c>
      <c r="BC28" s="5" t="s">
        <v>1995</v>
      </c>
      <c r="BD28" s="5" t="s">
        <v>656</v>
      </c>
      <c r="BE28" s="5" t="s">
        <v>2035</v>
      </c>
      <c r="BF28" s="14" t="s">
        <v>2107</v>
      </c>
      <c r="BG28" s="5"/>
      <c r="BH28" s="5"/>
      <c r="BI28" s="48">
        <v>24</v>
      </c>
      <c r="BJ28" s="55" t="s">
        <v>2228</v>
      </c>
      <c r="BK28" s="20" t="s">
        <v>2165</v>
      </c>
      <c r="BL28" s="20" t="s">
        <v>2166</v>
      </c>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row>
    <row r="29" spans="5:97">
      <c r="E29" s="1" t="s">
        <v>2486</v>
      </c>
      <c r="H29" s="1">
        <v>40</v>
      </c>
      <c r="M29" s="5" t="s">
        <v>2036</v>
      </c>
      <c r="N29" s="4" t="s">
        <v>1421</v>
      </c>
      <c r="O29" s="4" t="s">
        <v>2501</v>
      </c>
      <c r="P29" s="5" t="s">
        <v>2792</v>
      </c>
      <c r="Q29" s="4" t="s">
        <v>2047</v>
      </c>
      <c r="R29" s="4" t="s">
        <v>2080</v>
      </c>
      <c r="T29" s="5" t="s">
        <v>539</v>
      </c>
      <c r="U29" s="5" t="s">
        <v>643</v>
      </c>
      <c r="V29" s="5" t="s">
        <v>1586</v>
      </c>
      <c r="W29" s="5" t="s">
        <v>1370</v>
      </c>
      <c r="X29" s="5" t="s">
        <v>1982</v>
      </c>
      <c r="Y29" s="5"/>
      <c r="Z29" s="5" t="s">
        <v>1024</v>
      </c>
      <c r="AA29" s="5" t="s">
        <v>1967</v>
      </c>
      <c r="AB29" s="5" t="s">
        <v>1322</v>
      </c>
      <c r="AC29" s="5" t="s">
        <v>1074</v>
      </c>
      <c r="AD29" s="5"/>
      <c r="AE29" s="5" t="s">
        <v>831</v>
      </c>
      <c r="AF29" s="5" t="s">
        <v>400</v>
      </c>
      <c r="AG29" s="5" t="s">
        <v>1346</v>
      </c>
      <c r="AH29" s="5"/>
      <c r="AI29" s="5" t="s">
        <v>225</v>
      </c>
      <c r="AJ29" s="5"/>
      <c r="AK29" s="5"/>
      <c r="AL29" s="5" t="s">
        <v>1363</v>
      </c>
      <c r="AM29" s="5" t="s">
        <v>509</v>
      </c>
      <c r="AN29" s="5"/>
      <c r="AO29" s="5" t="s">
        <v>1214</v>
      </c>
      <c r="AP29" s="5"/>
      <c r="AQ29" s="5" t="s">
        <v>1272</v>
      </c>
      <c r="AR29" s="5"/>
      <c r="AS29" s="5"/>
      <c r="AT29" s="5" t="s">
        <v>1040</v>
      </c>
      <c r="AU29" s="5"/>
      <c r="AV29" s="5" t="s">
        <v>1381</v>
      </c>
      <c r="AW29" s="5" t="s">
        <v>116</v>
      </c>
      <c r="AX29" s="5" t="s">
        <v>633</v>
      </c>
      <c r="AY29" s="5" t="s">
        <v>1763</v>
      </c>
      <c r="AZ29" s="5" t="s">
        <v>1097</v>
      </c>
      <c r="BA29" s="5"/>
      <c r="BB29" s="5" t="s">
        <v>671</v>
      </c>
      <c r="BC29" s="5" t="s">
        <v>656</v>
      </c>
      <c r="BD29" s="5" t="s">
        <v>656</v>
      </c>
      <c r="BE29" s="5" t="s">
        <v>2036</v>
      </c>
      <c r="BF29" s="14" t="s">
        <v>2107</v>
      </c>
      <c r="BG29" s="5"/>
      <c r="BH29" s="5"/>
      <c r="BI29" s="48">
        <v>25</v>
      </c>
      <c r="BJ29" s="55" t="s">
        <v>2231</v>
      </c>
      <c r="BK29" s="20" t="s">
        <v>2165</v>
      </c>
      <c r="BL29" s="20" t="s">
        <v>2166</v>
      </c>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row>
    <row r="30" spans="5:97">
      <c r="E30" s="1" t="s">
        <v>2543</v>
      </c>
      <c r="H30" s="1">
        <v>41</v>
      </c>
      <c r="M30" s="5" t="s">
        <v>2037</v>
      </c>
      <c r="N30" s="4" t="s">
        <v>1573</v>
      </c>
      <c r="O30" s="4" t="s">
        <v>1551</v>
      </c>
      <c r="P30" s="5" t="s">
        <v>2678</v>
      </c>
      <c r="Q30" s="4" t="s">
        <v>1436</v>
      </c>
      <c r="R30" s="4" t="s">
        <v>2081</v>
      </c>
      <c r="T30" s="5" t="s">
        <v>540</v>
      </c>
      <c r="U30" s="5" t="s">
        <v>645</v>
      </c>
      <c r="V30" s="5" t="s">
        <v>1714</v>
      </c>
      <c r="W30" s="5" t="s">
        <v>1598</v>
      </c>
      <c r="X30" s="5" t="s">
        <v>758</v>
      </c>
      <c r="Y30" s="5"/>
      <c r="Z30" s="5" t="s">
        <v>923</v>
      </c>
      <c r="AA30" s="5" t="s">
        <v>729</v>
      </c>
      <c r="AB30" s="5" t="s">
        <v>621</v>
      </c>
      <c r="AC30" s="5" t="s">
        <v>1364</v>
      </c>
      <c r="AD30" s="5"/>
      <c r="AE30" s="5" t="s">
        <v>837</v>
      </c>
      <c r="AF30" s="5" t="s">
        <v>863</v>
      </c>
      <c r="AG30" s="5" t="s">
        <v>1785</v>
      </c>
      <c r="AH30" s="5"/>
      <c r="AI30" s="5" t="s">
        <v>247</v>
      </c>
      <c r="AJ30" s="5"/>
      <c r="AK30" s="5"/>
      <c r="AL30" s="5" t="s">
        <v>417</v>
      </c>
      <c r="AM30" s="5" t="s">
        <v>329</v>
      </c>
      <c r="AN30" s="5"/>
      <c r="AO30" s="5" t="s">
        <v>1216</v>
      </c>
      <c r="AP30" s="5"/>
      <c r="AQ30" s="5" t="s">
        <v>1046</v>
      </c>
      <c r="AR30" s="5"/>
      <c r="AS30" s="5"/>
      <c r="AT30" s="5" t="s">
        <v>1148</v>
      </c>
      <c r="AU30" s="5"/>
      <c r="AV30" s="5" t="s">
        <v>1286</v>
      </c>
      <c r="AW30" s="5" t="s">
        <v>118</v>
      </c>
      <c r="AX30" s="5" t="s">
        <v>634</v>
      </c>
      <c r="AY30" s="5"/>
      <c r="AZ30" s="5" t="s">
        <v>1099</v>
      </c>
      <c r="BA30" s="5"/>
      <c r="BB30" s="5" t="s">
        <v>672</v>
      </c>
      <c r="BC30" s="5" t="s">
        <v>656</v>
      </c>
      <c r="BD30" s="5" t="s">
        <v>656</v>
      </c>
      <c r="BE30" s="5" t="s">
        <v>2037</v>
      </c>
      <c r="BF30" s="14" t="s">
        <v>2107</v>
      </c>
      <c r="BG30" s="5"/>
      <c r="BH30" s="5"/>
      <c r="BI30" s="48">
        <v>26</v>
      </c>
      <c r="BJ30" s="55" t="s">
        <v>2640</v>
      </c>
      <c r="BK30" s="20" t="s">
        <v>2165</v>
      </c>
      <c r="BL30" s="20" t="s">
        <v>2166</v>
      </c>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row>
    <row r="31" spans="5:97">
      <c r="E31" s="1" t="s">
        <v>2544</v>
      </c>
      <c r="H31" s="1">
        <v>42</v>
      </c>
      <c r="M31" s="5" t="s">
        <v>2038</v>
      </c>
      <c r="N31" s="4" t="s">
        <v>1391</v>
      </c>
      <c r="O31" s="4" t="s">
        <v>2502</v>
      </c>
      <c r="P31" s="5" t="s">
        <v>2822</v>
      </c>
      <c r="Q31" s="4" t="s">
        <v>1450</v>
      </c>
      <c r="R31" s="4" t="s">
        <v>2082</v>
      </c>
      <c r="T31" s="5" t="s">
        <v>541</v>
      </c>
      <c r="U31" s="5" t="s">
        <v>651</v>
      </c>
      <c r="V31" s="5" t="s">
        <v>1704</v>
      </c>
      <c r="W31" s="5" t="s">
        <v>1751</v>
      </c>
      <c r="X31" s="5" t="s">
        <v>745</v>
      </c>
      <c r="Y31" s="5"/>
      <c r="Z31" s="5" t="s">
        <v>984</v>
      </c>
      <c r="AA31" s="5" t="s">
        <v>1750</v>
      </c>
      <c r="AB31" s="5" t="s">
        <v>957</v>
      </c>
      <c r="AC31" s="5" t="s">
        <v>859</v>
      </c>
      <c r="AD31" s="5"/>
      <c r="AE31" s="5" t="s">
        <v>815</v>
      </c>
      <c r="AF31" s="5" t="s">
        <v>1049</v>
      </c>
      <c r="AG31" s="5" t="s">
        <v>1780</v>
      </c>
      <c r="AH31" s="5"/>
      <c r="AI31" s="5" t="s">
        <v>206</v>
      </c>
      <c r="AJ31" s="5"/>
      <c r="AK31" s="5"/>
      <c r="AL31" s="5" t="s">
        <v>488</v>
      </c>
      <c r="AM31" s="5" t="s">
        <v>342</v>
      </c>
      <c r="AN31" s="5"/>
      <c r="AO31" s="5" t="s">
        <v>1218</v>
      </c>
      <c r="AP31" s="5"/>
      <c r="AQ31" s="5" t="s">
        <v>1256</v>
      </c>
      <c r="AR31" s="5"/>
      <c r="AS31" s="5"/>
      <c r="AT31" s="5" t="s">
        <v>1528</v>
      </c>
      <c r="AU31" s="5"/>
      <c r="AV31" s="5" t="s">
        <v>1191</v>
      </c>
      <c r="AW31" s="5" t="s">
        <v>122</v>
      </c>
      <c r="AX31" s="5" t="s">
        <v>553</v>
      </c>
      <c r="AY31" s="5"/>
      <c r="AZ31" s="5" t="s">
        <v>1101</v>
      </c>
      <c r="BA31" s="5"/>
      <c r="BB31" s="5" t="s">
        <v>678</v>
      </c>
      <c r="BC31" s="5" t="s">
        <v>656</v>
      </c>
      <c r="BD31" s="5" t="s">
        <v>656</v>
      </c>
      <c r="BE31" s="5" t="s">
        <v>2038</v>
      </c>
      <c r="BF31" s="14" t="s">
        <v>2107</v>
      </c>
      <c r="BG31" s="5"/>
      <c r="BH31" s="5"/>
      <c r="BI31" s="48">
        <v>27</v>
      </c>
      <c r="BJ31" s="55" t="s">
        <v>2287</v>
      </c>
      <c r="BK31" s="20" t="s">
        <v>2175</v>
      </c>
      <c r="BL31" s="20" t="s">
        <v>2179</v>
      </c>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row>
    <row r="32" spans="5:97">
      <c r="E32" s="1" t="s">
        <v>2439</v>
      </c>
      <c r="H32" s="1">
        <v>43</v>
      </c>
      <c r="M32" s="5" t="s">
        <v>2041</v>
      </c>
      <c r="N32" s="4" t="s">
        <v>1399</v>
      </c>
      <c r="O32" s="4" t="s">
        <v>1568</v>
      </c>
      <c r="P32" s="5" t="s">
        <v>2684</v>
      </c>
      <c r="Q32" s="4" t="s">
        <v>1471</v>
      </c>
      <c r="R32" s="4" t="s">
        <v>2083</v>
      </c>
      <c r="T32" s="5" t="s">
        <v>542</v>
      </c>
      <c r="U32" s="5"/>
      <c r="V32" s="5" t="s">
        <v>1535</v>
      </c>
      <c r="W32" s="5" t="s">
        <v>1670</v>
      </c>
      <c r="X32" s="5" t="s">
        <v>705</v>
      </c>
      <c r="Y32" s="5"/>
      <c r="Z32" s="5" t="s">
        <v>1012</v>
      </c>
      <c r="AA32" s="5" t="s">
        <v>1749</v>
      </c>
      <c r="AB32" s="5" t="s">
        <v>613</v>
      </c>
      <c r="AC32" s="5" t="s">
        <v>1072</v>
      </c>
      <c r="AD32" s="5"/>
      <c r="AE32" s="5" t="s">
        <v>836</v>
      </c>
      <c r="AF32" s="5" t="s">
        <v>763</v>
      </c>
      <c r="AG32" s="5" t="s">
        <v>1778</v>
      </c>
      <c r="AH32" s="5"/>
      <c r="AI32" s="5" t="s">
        <v>280</v>
      </c>
      <c r="AJ32" s="5"/>
      <c r="AK32" s="5"/>
      <c r="AL32" s="5" t="s">
        <v>487</v>
      </c>
      <c r="AM32" s="5" t="s">
        <v>490</v>
      </c>
      <c r="AN32" s="5"/>
      <c r="AO32" s="5" t="s">
        <v>1221</v>
      </c>
      <c r="AP32" s="5"/>
      <c r="AQ32" s="5" t="s">
        <v>1054</v>
      </c>
      <c r="AR32" s="5"/>
      <c r="AS32" s="5"/>
      <c r="AT32" s="5" t="s">
        <v>1158</v>
      </c>
      <c r="AU32" s="5"/>
      <c r="AV32" s="5" t="s">
        <v>1293</v>
      </c>
      <c r="AW32" s="5" t="s">
        <v>124</v>
      </c>
      <c r="AX32" s="5" t="s">
        <v>516</v>
      </c>
      <c r="AY32" s="5"/>
      <c r="AZ32" s="5" t="s">
        <v>1105</v>
      </c>
      <c r="BA32" s="5"/>
      <c r="BB32" s="5" t="s">
        <v>674</v>
      </c>
      <c r="BC32" s="5" t="s">
        <v>673</v>
      </c>
      <c r="BD32" s="5" t="s">
        <v>656</v>
      </c>
      <c r="BE32" s="5" t="s">
        <v>2041</v>
      </c>
      <c r="BF32" s="15" t="s">
        <v>2116</v>
      </c>
      <c r="BG32" s="5"/>
      <c r="BH32" s="5"/>
      <c r="BI32" s="48">
        <v>28</v>
      </c>
      <c r="BJ32" s="55" t="s">
        <v>2288</v>
      </c>
      <c r="BK32" s="20" t="s">
        <v>2175</v>
      </c>
      <c r="BL32" s="20" t="s">
        <v>2179</v>
      </c>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row>
    <row r="33" spans="5:97">
      <c r="E33" s="1" t="s">
        <v>2545</v>
      </c>
      <c r="H33" s="1">
        <v>44</v>
      </c>
      <c r="M33" s="5" t="s">
        <v>2042</v>
      </c>
      <c r="N33" s="4" t="s">
        <v>1400</v>
      </c>
      <c r="O33" s="4" t="s">
        <v>1570</v>
      </c>
      <c r="P33" s="5" t="s">
        <v>2788</v>
      </c>
      <c r="Q33" s="4" t="s">
        <v>1452</v>
      </c>
      <c r="R33" s="4" t="s">
        <v>2084</v>
      </c>
      <c r="T33" s="5" t="s">
        <v>543</v>
      </c>
      <c r="U33" s="5"/>
      <c r="V33" s="5" t="s">
        <v>1537</v>
      </c>
      <c r="W33" s="5" t="s">
        <v>1680</v>
      </c>
      <c r="X33" s="5" t="s">
        <v>707</v>
      </c>
      <c r="Y33" s="5"/>
      <c r="Z33" s="5" t="s">
        <v>981</v>
      </c>
      <c r="AA33" s="5" t="s">
        <v>721</v>
      </c>
      <c r="AB33" s="5" t="s">
        <v>1135</v>
      </c>
      <c r="AC33" s="5" t="s">
        <v>780</v>
      </c>
      <c r="AD33" s="5"/>
      <c r="AE33" s="5" t="s">
        <v>767</v>
      </c>
      <c r="AF33" s="5" t="s">
        <v>1950</v>
      </c>
      <c r="AG33" s="5" t="s">
        <v>1879</v>
      </c>
      <c r="AH33" s="5"/>
      <c r="AI33" s="5" t="s">
        <v>224</v>
      </c>
      <c r="AJ33" s="5"/>
      <c r="AK33" s="5"/>
      <c r="AL33" s="5" t="s">
        <v>486</v>
      </c>
      <c r="AM33" s="5" t="s">
        <v>431</v>
      </c>
      <c r="AN33" s="5"/>
      <c r="AO33" s="5" t="s">
        <v>1223</v>
      </c>
      <c r="AP33" s="5"/>
      <c r="AQ33" s="5" t="s">
        <v>1268</v>
      </c>
      <c r="AR33" s="5"/>
      <c r="AS33" s="5"/>
      <c r="AT33" s="5" t="s">
        <v>1155</v>
      </c>
      <c r="AU33" s="5"/>
      <c r="AV33" s="5" t="s">
        <v>1192</v>
      </c>
      <c r="AW33" s="5" t="s">
        <v>126</v>
      </c>
      <c r="AX33" s="5" t="s">
        <v>567</v>
      </c>
      <c r="AY33" s="5"/>
      <c r="AZ33" s="5" t="s">
        <v>1103</v>
      </c>
      <c r="BA33" s="5"/>
      <c r="BB33" s="5" t="s">
        <v>680</v>
      </c>
      <c r="BC33" s="5" t="s">
        <v>679</v>
      </c>
      <c r="BD33" s="5" t="s">
        <v>679</v>
      </c>
      <c r="BE33" s="5" t="s">
        <v>2042</v>
      </c>
      <c r="BF33" s="15" t="s">
        <v>2116</v>
      </c>
      <c r="BG33" s="5"/>
      <c r="BH33" s="5"/>
      <c r="BI33" s="48">
        <v>29</v>
      </c>
      <c r="BJ33" s="55" t="s">
        <v>2642</v>
      </c>
      <c r="BK33" s="20" t="s">
        <v>2159</v>
      </c>
      <c r="BL33" s="20" t="s">
        <v>2161</v>
      </c>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row>
    <row r="34" spans="5:97">
      <c r="E34" s="1" t="s">
        <v>2546</v>
      </c>
      <c r="H34" s="1">
        <v>45</v>
      </c>
      <c r="M34" s="5" t="s">
        <v>2043</v>
      </c>
      <c r="N34" s="4" t="s">
        <v>1401</v>
      </c>
      <c r="O34" s="4" t="s">
        <v>1571</v>
      </c>
      <c r="P34" s="5" t="s">
        <v>2746</v>
      </c>
      <c r="Q34" s="4" t="s">
        <v>1464</v>
      </c>
      <c r="R34" s="4" t="s">
        <v>2085</v>
      </c>
      <c r="T34" s="5" t="s">
        <v>544</v>
      </c>
      <c r="U34" s="5"/>
      <c r="V34" s="5" t="s">
        <v>1588</v>
      </c>
      <c r="W34" s="5" t="s">
        <v>1630</v>
      </c>
      <c r="X34" s="5" t="s">
        <v>1980</v>
      </c>
      <c r="Y34" s="5"/>
      <c r="Z34" s="5" t="s">
        <v>1058</v>
      </c>
      <c r="AA34" s="5" t="s">
        <v>716</v>
      </c>
      <c r="AB34" s="5" t="s">
        <v>1136</v>
      </c>
      <c r="AC34" s="5" t="s">
        <v>857</v>
      </c>
      <c r="AD34" s="5"/>
      <c r="AE34" s="5" t="s">
        <v>769</v>
      </c>
      <c r="AF34" s="5" t="s">
        <v>750</v>
      </c>
      <c r="AG34" s="5" t="s">
        <v>1903</v>
      </c>
      <c r="AH34" s="5"/>
      <c r="AI34" s="5" t="s">
        <v>302</v>
      </c>
      <c r="AJ34" s="5"/>
      <c r="AK34" s="5"/>
      <c r="AL34" s="5" t="s">
        <v>414</v>
      </c>
      <c r="AM34" s="5" t="s">
        <v>2614</v>
      </c>
      <c r="AN34" s="5"/>
      <c r="AO34" s="5" t="s">
        <v>7</v>
      </c>
      <c r="AP34" s="5"/>
      <c r="AQ34" s="5" t="s">
        <v>1279</v>
      </c>
      <c r="AR34" s="5"/>
      <c r="AS34" s="5"/>
      <c r="AT34" s="5" t="s">
        <v>1332</v>
      </c>
      <c r="AU34" s="5"/>
      <c r="AV34" s="5" t="s">
        <v>374</v>
      </c>
      <c r="AW34" s="5" t="s">
        <v>127</v>
      </c>
      <c r="AX34" s="5" t="s">
        <v>571</v>
      </c>
      <c r="AY34" s="5"/>
      <c r="AZ34" s="5" t="s">
        <v>1132</v>
      </c>
      <c r="BA34" s="5"/>
      <c r="BB34" s="5" t="s">
        <v>681</v>
      </c>
      <c r="BC34" s="5" t="s">
        <v>679</v>
      </c>
      <c r="BD34" s="5" t="s">
        <v>679</v>
      </c>
      <c r="BE34" s="5" t="s">
        <v>2043</v>
      </c>
      <c r="BF34" s="19" t="s">
        <v>2117</v>
      </c>
      <c r="BG34" s="5"/>
      <c r="BH34" s="5"/>
      <c r="BI34" s="48">
        <v>30</v>
      </c>
      <c r="BJ34" s="55" t="s">
        <v>2638</v>
      </c>
      <c r="BK34" s="20" t="s">
        <v>2163</v>
      </c>
      <c r="BL34" s="20" t="s">
        <v>2163</v>
      </c>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row>
    <row r="35" spans="5:97">
      <c r="E35" s="1" t="s">
        <v>2471</v>
      </c>
      <c r="H35" s="1">
        <v>46</v>
      </c>
      <c r="M35" s="5" t="s">
        <v>2044</v>
      </c>
      <c r="N35" s="4" t="s">
        <v>1396</v>
      </c>
      <c r="O35" s="4" t="s">
        <v>2503</v>
      </c>
      <c r="P35" s="5" t="s">
        <v>2739</v>
      </c>
      <c r="Q35" s="4" t="s">
        <v>1494</v>
      </c>
      <c r="R35" s="4" t="s">
        <v>2086</v>
      </c>
      <c r="T35" s="5" t="s">
        <v>545</v>
      </c>
      <c r="U35" s="5"/>
      <c r="V35" s="5" t="s">
        <v>695</v>
      </c>
      <c r="W35" s="5" t="s">
        <v>1607</v>
      </c>
      <c r="X35" s="5" t="s">
        <v>709</v>
      </c>
      <c r="Y35" s="5"/>
      <c r="Z35" s="5" t="s">
        <v>1062</v>
      </c>
      <c r="AA35" s="5" t="s">
        <v>1959</v>
      </c>
      <c r="AB35" s="5" t="s">
        <v>615</v>
      </c>
      <c r="AC35" s="5" t="s">
        <v>1068</v>
      </c>
      <c r="AD35" s="5"/>
      <c r="AE35" s="5" t="s">
        <v>802</v>
      </c>
      <c r="AF35" s="5" t="s">
        <v>327</v>
      </c>
      <c r="AG35" s="5" t="s">
        <v>1895</v>
      </c>
      <c r="AH35" s="5"/>
      <c r="AI35" s="5" t="s">
        <v>208</v>
      </c>
      <c r="AJ35" s="5"/>
      <c r="AK35" s="5"/>
      <c r="AL35" s="5" t="s">
        <v>423</v>
      </c>
      <c r="AM35" s="5" t="s">
        <v>435</v>
      </c>
      <c r="AN35" s="5"/>
      <c r="AO35" s="5" t="s">
        <v>1044</v>
      </c>
      <c r="AP35" s="5"/>
      <c r="AQ35" s="5" t="s">
        <v>1281</v>
      </c>
      <c r="AR35" s="5"/>
      <c r="AS35" s="5"/>
      <c r="AT35" s="5" t="s">
        <v>1175</v>
      </c>
      <c r="AU35" s="5"/>
      <c r="AV35" s="5" t="s">
        <v>0</v>
      </c>
      <c r="AW35" s="5" t="s">
        <v>129</v>
      </c>
      <c r="AX35" s="5" t="s">
        <v>573</v>
      </c>
      <c r="AY35" s="5"/>
      <c r="AZ35" s="5" t="s">
        <v>1130</v>
      </c>
      <c r="BA35" s="5"/>
      <c r="BB35" s="5" t="s">
        <v>683</v>
      </c>
      <c r="BC35" s="5" t="s">
        <v>682</v>
      </c>
      <c r="BD35" s="5" t="s">
        <v>679</v>
      </c>
      <c r="BE35" s="5" t="s">
        <v>2044</v>
      </c>
      <c r="BF35" s="17" t="s">
        <v>2109</v>
      </c>
      <c r="BG35" s="5"/>
      <c r="BH35" s="5"/>
      <c r="BI35" s="48">
        <v>31</v>
      </c>
      <c r="BJ35" s="55" t="s">
        <v>2637</v>
      </c>
      <c r="BK35" s="20" t="s">
        <v>2163</v>
      </c>
      <c r="BL35" s="20" t="s">
        <v>2163</v>
      </c>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row>
    <row r="36" spans="5:97">
      <c r="E36" s="1" t="s">
        <v>2128</v>
      </c>
      <c r="H36" s="1">
        <v>47</v>
      </c>
      <c r="M36" s="5" t="s">
        <v>2045</v>
      </c>
      <c r="N36" s="4" t="s">
        <v>1394</v>
      </c>
      <c r="O36" s="4" t="s">
        <v>1565</v>
      </c>
      <c r="P36" s="5" t="s">
        <v>2747</v>
      </c>
      <c r="Q36" s="4" t="s">
        <v>1451</v>
      </c>
      <c r="R36" s="4" t="s">
        <v>2087</v>
      </c>
      <c r="T36" s="5" t="s">
        <v>546</v>
      </c>
      <c r="U36" s="5"/>
      <c r="V36" s="5" t="s">
        <v>1595</v>
      </c>
      <c r="W36" s="5" t="s">
        <v>1619</v>
      </c>
      <c r="X36" s="5" t="s">
        <v>703</v>
      </c>
      <c r="Y36" s="5"/>
      <c r="Z36" s="5" t="s">
        <v>1029</v>
      </c>
      <c r="AA36" s="5" t="s">
        <v>1725</v>
      </c>
      <c r="AB36" s="5" t="s">
        <v>589</v>
      </c>
      <c r="AC36" s="5" t="s">
        <v>1935</v>
      </c>
      <c r="AD36" s="5"/>
      <c r="AE36" s="5" t="s">
        <v>813</v>
      </c>
      <c r="AF36" s="5" t="s">
        <v>1946</v>
      </c>
      <c r="AG36" s="5" t="s">
        <v>1783</v>
      </c>
      <c r="AH36" s="5"/>
      <c r="AI36" s="5" t="s">
        <v>203</v>
      </c>
      <c r="AJ36" s="5"/>
      <c r="AK36" s="5"/>
      <c r="AL36" s="5" t="s">
        <v>362</v>
      </c>
      <c r="AM36" s="5" t="s">
        <v>450</v>
      </c>
      <c r="AN36" s="5"/>
      <c r="AO36" s="5" t="s">
        <v>1208</v>
      </c>
      <c r="AP36" s="5"/>
      <c r="AQ36" s="5" t="s">
        <v>1277</v>
      </c>
      <c r="AR36" s="5"/>
      <c r="AS36" s="5"/>
      <c r="AT36" s="5" t="s">
        <v>1186</v>
      </c>
      <c r="AU36" s="5"/>
      <c r="AV36" s="5" t="s">
        <v>2</v>
      </c>
      <c r="AW36" s="5" t="s">
        <v>131</v>
      </c>
      <c r="AX36" s="5" t="s">
        <v>575</v>
      </c>
      <c r="AY36" s="5"/>
      <c r="AZ36" s="5"/>
      <c r="BA36" s="5"/>
      <c r="BB36" s="5" t="s">
        <v>685</v>
      </c>
      <c r="BC36" s="5" t="s">
        <v>684</v>
      </c>
      <c r="BD36" s="5" t="s">
        <v>679</v>
      </c>
      <c r="BE36" s="5" t="s">
        <v>2045</v>
      </c>
      <c r="BF36" s="19" t="s">
        <v>2117</v>
      </c>
      <c r="BG36" s="5"/>
      <c r="BH36" s="5"/>
      <c r="BI36" s="48">
        <v>32</v>
      </c>
      <c r="BJ36" s="55" t="s">
        <v>2323</v>
      </c>
      <c r="BK36" s="20" t="s">
        <v>2163</v>
      </c>
      <c r="BL36" s="20" t="s">
        <v>2163</v>
      </c>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row>
    <row r="37" spans="5:97">
      <c r="E37" s="1" t="s">
        <v>2472</v>
      </c>
      <c r="H37" s="1">
        <v>48</v>
      </c>
      <c r="M37" s="5" t="s">
        <v>2629</v>
      </c>
      <c r="N37" s="4" t="s">
        <v>1395</v>
      </c>
      <c r="O37" s="4" t="s">
        <v>1546</v>
      </c>
      <c r="P37" s="5" t="s">
        <v>2824</v>
      </c>
      <c r="Q37" s="4" t="s">
        <v>1455</v>
      </c>
      <c r="R37" s="4" t="s">
        <v>2088</v>
      </c>
      <c r="T37" s="5" t="s">
        <v>547</v>
      </c>
      <c r="U37" s="5"/>
      <c r="V37" s="5" t="s">
        <v>1592</v>
      </c>
      <c r="W37" s="5" t="s">
        <v>1638</v>
      </c>
      <c r="X37" s="5" t="s">
        <v>754</v>
      </c>
      <c r="Y37" s="5"/>
      <c r="Z37" s="5" t="s">
        <v>977</v>
      </c>
      <c r="AA37" s="5" t="s">
        <v>1739</v>
      </c>
      <c r="AB37" s="5" t="s">
        <v>590</v>
      </c>
      <c r="AC37" s="5"/>
      <c r="AD37" s="5"/>
      <c r="AE37" s="5" t="s">
        <v>811</v>
      </c>
      <c r="AF37" s="5"/>
      <c r="AG37" s="5" t="s">
        <v>1905</v>
      </c>
      <c r="AH37" s="5"/>
      <c r="AI37" s="5" t="s">
        <v>273</v>
      </c>
      <c r="AJ37" s="5"/>
      <c r="AK37" s="5"/>
      <c r="AL37" s="5" t="s">
        <v>427</v>
      </c>
      <c r="AM37" s="5" t="s">
        <v>1042</v>
      </c>
      <c r="AN37" s="5"/>
      <c r="AO37" s="5" t="s">
        <v>1055</v>
      </c>
      <c r="AP37" s="5"/>
      <c r="AQ37" s="5" t="s">
        <v>1275</v>
      </c>
      <c r="AR37" s="5"/>
      <c r="AS37" s="5"/>
      <c r="AT37" s="5" t="s">
        <v>1527</v>
      </c>
      <c r="AU37" s="5"/>
      <c r="AV37" s="5" t="s">
        <v>1</v>
      </c>
      <c r="AW37" s="5" t="s">
        <v>134</v>
      </c>
      <c r="AX37" s="5" t="s">
        <v>578</v>
      </c>
      <c r="AY37" s="5"/>
      <c r="AZ37" s="5"/>
      <c r="BA37" s="5"/>
      <c r="BB37" s="5" t="s">
        <v>692</v>
      </c>
      <c r="BC37" s="5" t="s">
        <v>691</v>
      </c>
      <c r="BD37" s="5" t="s">
        <v>691</v>
      </c>
      <c r="BE37" s="5" t="s">
        <v>2103</v>
      </c>
      <c r="BF37" s="19" t="s">
        <v>2117</v>
      </c>
      <c r="BG37" s="5"/>
      <c r="BH37" s="5"/>
      <c r="BI37" s="48">
        <v>33</v>
      </c>
      <c r="BJ37" s="55" t="s">
        <v>2262</v>
      </c>
      <c r="BK37" s="20" t="s">
        <v>2159</v>
      </c>
      <c r="BL37" s="20" t="s">
        <v>2161</v>
      </c>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row>
    <row r="38" spans="5:97">
      <c r="E38" s="1" t="s">
        <v>2440</v>
      </c>
      <c r="H38" s="1">
        <v>49</v>
      </c>
      <c r="M38" s="5"/>
      <c r="N38" s="4" t="s">
        <v>1398</v>
      </c>
      <c r="O38" s="4" t="s">
        <v>2504</v>
      </c>
      <c r="P38" s="5" t="s">
        <v>2767</v>
      </c>
      <c r="Q38" s="4" t="s">
        <v>1456</v>
      </c>
      <c r="R38" s="4" t="s">
        <v>2089</v>
      </c>
      <c r="T38" s="5" t="s">
        <v>2632</v>
      </c>
      <c r="U38" s="5"/>
      <c r="V38" s="5" t="s">
        <v>1539</v>
      </c>
      <c r="W38" s="5" t="s">
        <v>1636</v>
      </c>
      <c r="X38" s="5" t="s">
        <v>1976</v>
      </c>
      <c r="Y38" s="5"/>
      <c r="Z38" s="5" t="s">
        <v>976</v>
      </c>
      <c r="AA38" s="5" t="s">
        <v>734</v>
      </c>
      <c r="AB38" s="5" t="s">
        <v>964</v>
      </c>
      <c r="AC38" s="5"/>
      <c r="AD38" s="5"/>
      <c r="AE38" s="5" t="s">
        <v>796</v>
      </c>
      <c r="AF38" s="5"/>
      <c r="AG38" s="5"/>
      <c r="AH38" s="5"/>
      <c r="AI38" s="5" t="s">
        <v>214</v>
      </c>
      <c r="AJ38" s="5"/>
      <c r="AK38" s="5"/>
      <c r="AL38" s="5" t="s">
        <v>425</v>
      </c>
      <c r="AM38" s="5" t="s">
        <v>1041</v>
      </c>
      <c r="AN38" s="5"/>
      <c r="AO38" s="5" t="s">
        <v>1043</v>
      </c>
      <c r="AP38" s="5"/>
      <c r="AQ38" s="5"/>
      <c r="AR38" s="5"/>
      <c r="AS38" s="5"/>
      <c r="AT38" s="5" t="s">
        <v>1529</v>
      </c>
      <c r="AU38" s="5"/>
      <c r="AV38" s="5" t="s">
        <v>1189</v>
      </c>
      <c r="AW38" s="5" t="s">
        <v>138</v>
      </c>
      <c r="AX38" s="5" t="s">
        <v>591</v>
      </c>
      <c r="AY38" s="5"/>
      <c r="AZ38" s="5"/>
      <c r="BA38" s="5"/>
      <c r="BB38" s="5" t="s">
        <v>693</v>
      </c>
      <c r="BC38" s="5" t="s">
        <v>691</v>
      </c>
      <c r="BD38" s="5" t="s">
        <v>691</v>
      </c>
      <c r="BE38" s="5" t="s">
        <v>2114</v>
      </c>
      <c r="BF38" s="15" t="s">
        <v>2116</v>
      </c>
      <c r="BG38" s="5"/>
      <c r="BH38" s="5"/>
      <c r="BI38" s="48">
        <v>34</v>
      </c>
      <c r="BJ38" s="55" t="s">
        <v>2386</v>
      </c>
      <c r="BK38" s="20" t="s">
        <v>2159</v>
      </c>
      <c r="BL38" s="20" t="s">
        <v>2161</v>
      </c>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row>
    <row r="39" spans="5:97">
      <c r="E39" s="1" t="s">
        <v>2441</v>
      </c>
      <c r="H39" s="1">
        <v>50</v>
      </c>
      <c r="M39" s="5"/>
      <c r="N39" s="4" t="s">
        <v>1405</v>
      </c>
      <c r="O39" s="4" t="s">
        <v>2505</v>
      </c>
      <c r="P39" s="5" t="s">
        <v>2803</v>
      </c>
      <c r="Q39" s="4" t="s">
        <v>1457</v>
      </c>
      <c r="R39" s="4" t="s">
        <v>2090</v>
      </c>
      <c r="T39" s="5" t="s">
        <v>1828</v>
      </c>
      <c r="U39" s="5"/>
      <c r="V39" s="5" t="s">
        <v>1584</v>
      </c>
      <c r="W39" s="5" t="s">
        <v>1617</v>
      </c>
      <c r="X39" s="5"/>
      <c r="Y39" s="5"/>
      <c r="Z39" s="5" t="s">
        <v>1025</v>
      </c>
      <c r="AA39" s="5" t="s">
        <v>1965</v>
      </c>
      <c r="AB39" s="5" t="s">
        <v>617</v>
      </c>
      <c r="AC39" s="5"/>
      <c r="AD39" s="5"/>
      <c r="AE39" s="5"/>
      <c r="AF39" s="5"/>
      <c r="AG39" s="5"/>
      <c r="AH39" s="5"/>
      <c r="AI39" s="5" t="s">
        <v>387</v>
      </c>
      <c r="AJ39" s="5"/>
      <c r="AK39" s="5"/>
      <c r="AL39" s="5" t="s">
        <v>416</v>
      </c>
      <c r="AM39" s="5" t="s">
        <v>1053</v>
      </c>
      <c r="AN39" s="5"/>
      <c r="AO39" s="5" t="s">
        <v>893</v>
      </c>
      <c r="AP39" s="5"/>
      <c r="AQ39" s="5"/>
      <c r="AR39" s="5"/>
      <c r="AS39" s="5"/>
      <c r="AT39" s="5" t="s">
        <v>1531</v>
      </c>
      <c r="AU39" s="5"/>
      <c r="AV39" s="5" t="s">
        <v>2561</v>
      </c>
      <c r="AW39" s="5" t="s">
        <v>136</v>
      </c>
      <c r="AX39" s="5" t="s">
        <v>593</v>
      </c>
      <c r="AY39" s="5"/>
      <c r="AZ39" s="5"/>
      <c r="BA39" s="5"/>
      <c r="BB39" s="5" t="s">
        <v>696</v>
      </c>
      <c r="BC39" s="5" t="s">
        <v>691</v>
      </c>
      <c r="BD39" s="5" t="s">
        <v>691</v>
      </c>
      <c r="BE39" s="5" t="s">
        <v>2115</v>
      </c>
      <c r="BF39" s="13" t="s">
        <v>2106</v>
      </c>
      <c r="BG39" s="5"/>
      <c r="BH39" s="5"/>
      <c r="BI39" s="48">
        <v>35</v>
      </c>
      <c r="BJ39" s="55" t="s">
        <v>2508</v>
      </c>
      <c r="BK39" s="20" t="s">
        <v>2159</v>
      </c>
      <c r="BL39" s="20" t="s">
        <v>2161</v>
      </c>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row>
    <row r="40" spans="5:97">
      <c r="E40" s="1" t="s">
        <v>2442</v>
      </c>
      <c r="H40" s="1">
        <v>51</v>
      </c>
      <c r="M40" s="5"/>
      <c r="N40" s="4" t="s">
        <v>1406</v>
      </c>
      <c r="P40" s="5" t="s">
        <v>2669</v>
      </c>
      <c r="Q40" s="4" t="s">
        <v>1458</v>
      </c>
      <c r="R40" s="4" t="s">
        <v>2091</v>
      </c>
      <c r="T40" s="5" t="s">
        <v>1829</v>
      </c>
      <c r="U40" s="5"/>
      <c r="V40" s="5" t="s">
        <v>696</v>
      </c>
      <c r="W40" s="5" t="s">
        <v>1628</v>
      </c>
      <c r="X40" s="5"/>
      <c r="Y40" s="5"/>
      <c r="Z40" s="5" t="s">
        <v>1035</v>
      </c>
      <c r="AA40" s="5" t="s">
        <v>1745</v>
      </c>
      <c r="AB40" s="5" t="s">
        <v>614</v>
      </c>
      <c r="AC40" s="5"/>
      <c r="AD40" s="5"/>
      <c r="AE40" s="5"/>
      <c r="AF40" s="5"/>
      <c r="AG40" s="5"/>
      <c r="AH40" s="5"/>
      <c r="AI40" s="5" t="s">
        <v>1572</v>
      </c>
      <c r="AJ40" s="5"/>
      <c r="AK40" s="5"/>
      <c r="AL40" s="5" t="s">
        <v>429</v>
      </c>
      <c r="AM40" s="5" t="s">
        <v>347</v>
      </c>
      <c r="AN40" s="5"/>
      <c r="AO40" s="5" t="s">
        <v>1219</v>
      </c>
      <c r="AP40" s="5"/>
      <c r="AQ40" s="5"/>
      <c r="AR40" s="5"/>
      <c r="AS40" s="5"/>
      <c r="AT40" s="5" t="s">
        <v>1532</v>
      </c>
      <c r="AU40" s="5"/>
      <c r="AV40" s="5"/>
      <c r="AW40" s="5" t="s">
        <v>137</v>
      </c>
      <c r="AX40" s="5" t="s">
        <v>595</v>
      </c>
      <c r="AY40" s="5"/>
      <c r="AZ40" s="5"/>
      <c r="BA40" s="5"/>
      <c r="BB40" s="5" t="s">
        <v>695</v>
      </c>
      <c r="BC40" s="5" t="s">
        <v>694</v>
      </c>
      <c r="BD40" s="5" t="s">
        <v>691</v>
      </c>
      <c r="BE40" s="5" t="s">
        <v>2118</v>
      </c>
      <c r="BF40" s="19" t="s">
        <v>2117</v>
      </c>
      <c r="BG40" s="5"/>
      <c r="BH40" s="5"/>
      <c r="BI40" s="48">
        <v>36</v>
      </c>
      <c r="BJ40" s="55" t="s">
        <v>2643</v>
      </c>
      <c r="BK40" s="20" t="s">
        <v>2159</v>
      </c>
      <c r="BL40" s="20" t="s">
        <v>2161</v>
      </c>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row>
    <row r="41" spans="5:97">
      <c r="E41" s="1" t="s">
        <v>2443</v>
      </c>
      <c r="H41" s="1">
        <v>52</v>
      </c>
      <c r="M41" s="5"/>
      <c r="N41" s="4" t="s">
        <v>1368</v>
      </c>
      <c r="P41" s="5" t="s">
        <v>2713</v>
      </c>
      <c r="Q41" s="4" t="s">
        <v>1459</v>
      </c>
      <c r="R41" s="4" t="s">
        <v>2092</v>
      </c>
      <c r="T41" s="5" t="s">
        <v>2664</v>
      </c>
      <c r="U41" s="5"/>
      <c r="V41" s="5" t="s">
        <v>685</v>
      </c>
      <c r="W41" s="5" t="s">
        <v>1647</v>
      </c>
      <c r="X41" s="5"/>
      <c r="Y41" s="5"/>
      <c r="Z41" s="5" t="s">
        <v>924</v>
      </c>
      <c r="AA41" s="5" t="s">
        <v>1743</v>
      </c>
      <c r="AB41" s="5" t="s">
        <v>2049</v>
      </c>
      <c r="AC41" s="5"/>
      <c r="AD41" s="5"/>
      <c r="AE41" s="5"/>
      <c r="AF41" s="5"/>
      <c r="AG41" s="5"/>
      <c r="AH41" s="5"/>
      <c r="AI41" s="5" t="s">
        <v>239</v>
      </c>
      <c r="AJ41" s="5"/>
      <c r="AK41" s="5"/>
      <c r="AL41" s="5" t="s">
        <v>841</v>
      </c>
      <c r="AM41" s="5" t="s">
        <v>340</v>
      </c>
      <c r="AN41" s="5"/>
      <c r="AO41" s="5" t="s">
        <v>909</v>
      </c>
      <c r="AP41" s="5"/>
      <c r="AQ41" s="5"/>
      <c r="AR41" s="5"/>
      <c r="AS41" s="5"/>
      <c r="AT41" s="5" t="s">
        <v>1530</v>
      </c>
      <c r="AU41" s="5"/>
      <c r="AV41" s="5"/>
      <c r="AW41" s="5" t="s">
        <v>1333</v>
      </c>
      <c r="AX41" s="5" t="s">
        <v>583</v>
      </c>
      <c r="AY41" s="5"/>
      <c r="AZ41" s="5"/>
      <c r="BA41" s="5"/>
      <c r="BB41" s="5" t="s">
        <v>1578</v>
      </c>
      <c r="BC41" s="5" t="s">
        <v>1577</v>
      </c>
      <c r="BD41" s="5" t="s">
        <v>1575</v>
      </c>
      <c r="BE41" s="5"/>
      <c r="BF41" s="5"/>
      <c r="BG41" s="5"/>
      <c r="BH41" s="5"/>
      <c r="BI41" s="48">
        <v>37</v>
      </c>
      <c r="BJ41" s="55" t="s">
        <v>2509</v>
      </c>
      <c r="BK41" s="20" t="s">
        <v>2159</v>
      </c>
      <c r="BL41" s="20" t="s">
        <v>2161</v>
      </c>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row>
    <row r="42" spans="5:97">
      <c r="E42" s="1" t="s">
        <v>2483</v>
      </c>
      <c r="H42" s="1">
        <v>53</v>
      </c>
      <c r="M42" s="5"/>
      <c r="N42" s="4" t="s">
        <v>1397</v>
      </c>
      <c r="P42" s="5" t="s">
        <v>2690</v>
      </c>
      <c r="Q42" s="4" t="s">
        <v>1460</v>
      </c>
      <c r="R42" s="4" t="s">
        <v>2093</v>
      </c>
      <c r="T42" s="5"/>
      <c r="U42" s="5"/>
      <c r="V42" s="5"/>
      <c r="W42" s="5" t="s">
        <v>1659</v>
      </c>
      <c r="X42" s="5"/>
      <c r="Y42" s="5"/>
      <c r="Z42" s="5" t="s">
        <v>935</v>
      </c>
      <c r="AA42" s="5" t="s">
        <v>732</v>
      </c>
      <c r="AB42" s="5" t="s">
        <v>587</v>
      </c>
      <c r="AC42" s="5"/>
      <c r="AD42" s="5"/>
      <c r="AE42" s="5"/>
      <c r="AF42" s="5"/>
      <c r="AG42" s="5"/>
      <c r="AH42" s="5"/>
      <c r="AI42" s="5" t="s">
        <v>240</v>
      </c>
      <c r="AJ42" s="5"/>
      <c r="AK42" s="5"/>
      <c r="AL42" s="5" t="s">
        <v>484</v>
      </c>
      <c r="AM42" s="5" t="s">
        <v>439</v>
      </c>
      <c r="AN42" s="5"/>
      <c r="AO42" s="5" t="s">
        <v>1229</v>
      </c>
      <c r="AP42" s="5"/>
      <c r="AQ42" s="5"/>
      <c r="AR42" s="5"/>
      <c r="AS42" s="5"/>
      <c r="AT42" s="5" t="s">
        <v>1525</v>
      </c>
      <c r="AU42" s="5"/>
      <c r="AV42" s="5"/>
      <c r="AW42" s="5" t="s">
        <v>120</v>
      </c>
      <c r="AX42" s="5" t="s">
        <v>597</v>
      </c>
      <c r="AY42" s="5"/>
      <c r="AZ42" s="5"/>
      <c r="BA42" s="5"/>
      <c r="BB42" s="5" t="s">
        <v>1580</v>
      </c>
      <c r="BC42" s="5" t="s">
        <v>1579</v>
      </c>
      <c r="BD42" s="5" t="s">
        <v>1575</v>
      </c>
      <c r="BE42" s="5"/>
      <c r="BF42" s="5"/>
      <c r="BG42" s="5"/>
      <c r="BH42" s="5"/>
      <c r="BI42" s="48">
        <v>38</v>
      </c>
      <c r="BJ42" s="55" t="s">
        <v>2510</v>
      </c>
      <c r="BK42" s="20" t="s">
        <v>2163</v>
      </c>
      <c r="BL42" s="20" t="s">
        <v>2163</v>
      </c>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row>
    <row r="43" spans="5:97">
      <c r="E43" s="1" t="s">
        <v>2444</v>
      </c>
      <c r="H43" s="1">
        <v>54</v>
      </c>
      <c r="M43" s="5"/>
      <c r="N43" s="4" t="s">
        <v>1415</v>
      </c>
      <c r="P43" s="5" t="s">
        <v>2799</v>
      </c>
      <c r="Q43" s="4" t="s">
        <v>1461</v>
      </c>
      <c r="R43" s="4" t="s">
        <v>2094</v>
      </c>
      <c r="T43" s="9" t="s">
        <v>2492</v>
      </c>
      <c r="U43" s="5"/>
      <c r="V43" s="5"/>
      <c r="W43" s="5" t="s">
        <v>1692</v>
      </c>
      <c r="X43" s="5"/>
      <c r="Y43" s="5"/>
      <c r="Z43" s="5" t="s">
        <v>1037</v>
      </c>
      <c r="AA43" s="5" t="s">
        <v>1729</v>
      </c>
      <c r="AB43" s="5" t="s">
        <v>1324</v>
      </c>
      <c r="AC43" s="5"/>
      <c r="AD43" s="5"/>
      <c r="AE43" s="5"/>
      <c r="AF43" s="5"/>
      <c r="AG43" s="5"/>
      <c r="AH43" s="5"/>
      <c r="AI43" s="5" t="s">
        <v>301</v>
      </c>
      <c r="AJ43" s="5"/>
      <c r="AK43" s="5"/>
      <c r="AL43" s="5" t="s">
        <v>845</v>
      </c>
      <c r="AM43" s="5" t="s">
        <v>459</v>
      </c>
      <c r="AN43" s="5"/>
      <c r="AO43" s="5" t="s">
        <v>1230</v>
      </c>
      <c r="AP43" s="5"/>
      <c r="AQ43" s="5"/>
      <c r="AR43" s="5"/>
      <c r="AS43" s="5"/>
      <c r="AT43" s="5" t="s">
        <v>6</v>
      </c>
      <c r="AU43" s="5"/>
      <c r="AV43" s="5"/>
      <c r="AW43" s="5" t="s">
        <v>1382</v>
      </c>
      <c r="AX43" s="5" t="s">
        <v>636</v>
      </c>
      <c r="AY43" s="5"/>
      <c r="AZ43" s="5"/>
      <c r="BA43" s="5"/>
      <c r="BB43" s="5" t="s">
        <v>1586</v>
      </c>
      <c r="BC43" s="5" t="s">
        <v>1585</v>
      </c>
      <c r="BD43" s="5" t="s">
        <v>1575</v>
      </c>
      <c r="BE43" s="5"/>
      <c r="BF43" s="5"/>
      <c r="BG43" s="5"/>
      <c r="BH43" s="5"/>
      <c r="BI43" s="48">
        <v>39</v>
      </c>
      <c r="BJ43" s="55" t="s">
        <v>2593</v>
      </c>
      <c r="BK43" s="20" t="s">
        <v>2159</v>
      </c>
      <c r="BL43" s="20" t="s">
        <v>2161</v>
      </c>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row>
    <row r="44" spans="5:97">
      <c r="E44" s="1" t="s">
        <v>2470</v>
      </c>
      <c r="H44" s="1">
        <v>55</v>
      </c>
      <c r="M44" s="5"/>
      <c r="N44" s="4" t="s">
        <v>1404</v>
      </c>
      <c r="P44" s="5" t="s">
        <v>2714</v>
      </c>
      <c r="Q44" s="4" t="s">
        <v>1462</v>
      </c>
      <c r="R44" s="4" t="s">
        <v>2095</v>
      </c>
      <c r="T44" s="5" t="s">
        <v>2492</v>
      </c>
      <c r="U44" s="5"/>
      <c r="V44" s="5"/>
      <c r="W44" s="5" t="s">
        <v>1694</v>
      </c>
      <c r="X44" s="5"/>
      <c r="Y44" s="5"/>
      <c r="Z44" s="5" t="s">
        <v>1031</v>
      </c>
      <c r="AA44" s="5" t="s">
        <v>1961</v>
      </c>
      <c r="AB44" s="5" t="s">
        <v>960</v>
      </c>
      <c r="AC44" s="5"/>
      <c r="AD44" s="5"/>
      <c r="AE44" s="5"/>
      <c r="AF44" s="5"/>
      <c r="AG44" s="5"/>
      <c r="AH44" s="5"/>
      <c r="AI44" s="5" t="s">
        <v>203</v>
      </c>
      <c r="AJ44" s="5"/>
      <c r="AK44" s="5"/>
      <c r="AL44" s="5" t="s">
        <v>843</v>
      </c>
      <c r="AM44" s="5" t="s">
        <v>443</v>
      </c>
      <c r="AN44" s="5"/>
      <c r="AO44" s="5" t="s">
        <v>1372</v>
      </c>
      <c r="AP44" s="5"/>
      <c r="AQ44" s="5"/>
      <c r="AR44" s="5"/>
      <c r="AS44" s="5"/>
      <c r="AT44" s="5" t="s">
        <v>1166</v>
      </c>
      <c r="AU44" s="5"/>
      <c r="AV44" s="5"/>
      <c r="AW44" s="5"/>
      <c r="AX44" s="5" t="s">
        <v>631</v>
      </c>
      <c r="AY44" s="5"/>
      <c r="AZ44" s="5"/>
      <c r="BA44" s="5"/>
      <c r="BB44" s="5" t="s">
        <v>1582</v>
      </c>
      <c r="BC44" s="5" t="s">
        <v>1581</v>
      </c>
      <c r="BD44" s="5" t="s">
        <v>1575</v>
      </c>
      <c r="BE44" s="5"/>
      <c r="BF44" s="5"/>
      <c r="BG44" s="5"/>
      <c r="BH44" s="5"/>
      <c r="BI44" s="48">
        <v>40</v>
      </c>
      <c r="BJ44" s="55" t="s">
        <v>2602</v>
      </c>
      <c r="BK44" s="20" t="s">
        <v>2159</v>
      </c>
      <c r="BL44" s="20" t="s">
        <v>2161</v>
      </c>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row>
    <row r="45" spans="5:97">
      <c r="E45" s="1" t="s">
        <v>2547</v>
      </c>
      <c r="H45" s="1">
        <v>56</v>
      </c>
      <c r="M45" s="5"/>
      <c r="N45" s="4" t="s">
        <v>1403</v>
      </c>
      <c r="P45" s="5" t="s">
        <v>2821</v>
      </c>
      <c r="Q45" s="4" t="s">
        <v>1463</v>
      </c>
      <c r="R45" s="4" t="s">
        <v>2096</v>
      </c>
      <c r="U45" s="5"/>
      <c r="V45" s="5"/>
      <c r="W45" s="5" t="s">
        <v>1601</v>
      </c>
      <c r="X45" s="5"/>
      <c r="Y45" s="5"/>
      <c r="Z45" s="5" t="s">
        <v>990</v>
      </c>
      <c r="AA45" s="5" t="s">
        <v>1741</v>
      </c>
      <c r="AB45" s="5"/>
      <c r="AC45" s="5"/>
      <c r="AD45" s="5"/>
      <c r="AE45" s="5"/>
      <c r="AF45" s="5"/>
      <c r="AG45" s="5"/>
      <c r="AH45" s="5"/>
      <c r="AI45" s="5" t="s">
        <v>273</v>
      </c>
      <c r="AJ45" s="5"/>
      <c r="AK45" s="5"/>
      <c r="AL45" s="5" t="s">
        <v>1038</v>
      </c>
      <c r="AM45" s="5" t="s">
        <v>461</v>
      </c>
      <c r="AN45" s="5"/>
      <c r="AO45" s="5" t="s">
        <v>1231</v>
      </c>
      <c r="AP45" s="5"/>
      <c r="AQ45" s="5"/>
      <c r="AR45" s="5"/>
      <c r="AS45" s="5"/>
      <c r="AT45" s="5"/>
      <c r="AU45" s="5"/>
      <c r="AV45" s="5"/>
      <c r="AW45" s="5"/>
      <c r="AX45" s="5" t="s">
        <v>576</v>
      </c>
      <c r="AY45" s="5"/>
      <c r="AZ45" s="5"/>
      <c r="BA45" s="5"/>
      <c r="BB45" s="5" t="s">
        <v>1535</v>
      </c>
      <c r="BC45" s="5" t="s">
        <v>1534</v>
      </c>
      <c r="BD45" s="5" t="s">
        <v>1575</v>
      </c>
      <c r="BE45" s="5"/>
      <c r="BF45" s="5"/>
      <c r="BG45" s="5"/>
      <c r="BH45" s="5"/>
      <c r="BI45" s="48">
        <v>41</v>
      </c>
      <c r="BJ45" s="55" t="s">
        <v>2644</v>
      </c>
      <c r="BK45" s="20" t="s">
        <v>2159</v>
      </c>
      <c r="BL45" s="20" t="s">
        <v>2161</v>
      </c>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row>
    <row r="46" spans="5:97">
      <c r="E46" s="1" t="s">
        <v>2445</v>
      </c>
      <c r="H46" s="1">
        <v>57</v>
      </c>
      <c r="M46" s="6"/>
      <c r="N46" s="4" t="s">
        <v>1420</v>
      </c>
      <c r="P46" s="5" t="s">
        <v>2668</v>
      </c>
      <c r="Q46" s="4" t="s">
        <v>1465</v>
      </c>
      <c r="R46" s="4" t="s">
        <v>2097</v>
      </c>
      <c r="U46" s="5"/>
      <c r="V46" s="5"/>
      <c r="W46" s="5" t="s">
        <v>1675</v>
      </c>
      <c r="X46" s="5"/>
      <c r="Y46" s="5"/>
      <c r="Z46" s="5" t="s">
        <v>971</v>
      </c>
      <c r="AA46" s="5" t="s">
        <v>1963</v>
      </c>
      <c r="AB46" s="5"/>
      <c r="AC46" s="5"/>
      <c r="AD46" s="5"/>
      <c r="AE46" s="5"/>
      <c r="AF46" s="5"/>
      <c r="AG46" s="5"/>
      <c r="AH46" s="5"/>
      <c r="AI46" s="5" t="s">
        <v>214</v>
      </c>
      <c r="AJ46" s="5"/>
      <c r="AK46" s="5"/>
      <c r="AL46" s="5" t="s">
        <v>364</v>
      </c>
      <c r="AM46" s="5" t="s">
        <v>338</v>
      </c>
      <c r="AN46" s="5"/>
      <c r="AO46" s="5" t="s">
        <v>914</v>
      </c>
      <c r="AP46" s="5"/>
      <c r="AQ46" s="5"/>
      <c r="AR46" s="5"/>
      <c r="AS46" s="5"/>
      <c r="AT46" s="5"/>
      <c r="AU46" s="5"/>
      <c r="AV46" s="5"/>
      <c r="AW46" s="5"/>
      <c r="AX46" s="5"/>
      <c r="AY46" s="5"/>
      <c r="AZ46" s="5"/>
      <c r="BA46" s="5"/>
      <c r="BB46" s="5" t="s">
        <v>1537</v>
      </c>
      <c r="BC46" s="5" t="s">
        <v>1536</v>
      </c>
      <c r="BD46" s="5" t="s">
        <v>1575</v>
      </c>
      <c r="BE46" s="5"/>
      <c r="BF46" s="5"/>
      <c r="BG46" s="5"/>
      <c r="BH46" s="5"/>
      <c r="BI46" s="48">
        <v>42</v>
      </c>
      <c r="BJ46" s="55" t="s">
        <v>2254</v>
      </c>
      <c r="BK46" s="20" t="s">
        <v>2159</v>
      </c>
      <c r="BL46" s="20" t="s">
        <v>2161</v>
      </c>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row>
    <row r="47" spans="5:97">
      <c r="E47" s="1" t="s">
        <v>2446</v>
      </c>
      <c r="H47" s="1">
        <v>58</v>
      </c>
      <c r="M47" s="6"/>
      <c r="N47" s="4" t="s">
        <v>1416</v>
      </c>
      <c r="P47" s="5" t="s">
        <v>2745</v>
      </c>
      <c r="Q47" s="4" t="s">
        <v>1466</v>
      </c>
      <c r="R47" s="4" t="s">
        <v>2098</v>
      </c>
      <c r="U47" s="5"/>
      <c r="V47" s="5"/>
      <c r="W47" s="5" t="s">
        <v>1635</v>
      </c>
      <c r="X47" s="5"/>
      <c r="Y47" s="5"/>
      <c r="Z47" s="5" t="s">
        <v>1033</v>
      </c>
      <c r="AA47" s="5" t="s">
        <v>1727</v>
      </c>
      <c r="AB47" s="5"/>
      <c r="AC47" s="5"/>
      <c r="AD47" s="5"/>
      <c r="AE47" s="5"/>
      <c r="AF47" s="5"/>
      <c r="AG47" s="5"/>
      <c r="AH47" s="5"/>
      <c r="AI47" s="5" t="s">
        <v>228</v>
      </c>
      <c r="AJ47" s="5"/>
      <c r="AK47" s="5"/>
      <c r="AL47" s="5" t="s">
        <v>412</v>
      </c>
      <c r="AM47" s="5" t="s">
        <v>441</v>
      </c>
      <c r="AN47" s="5"/>
      <c r="AO47" s="5" t="s">
        <v>1228</v>
      </c>
      <c r="AP47" s="5"/>
      <c r="AQ47" s="5"/>
      <c r="AR47" s="5"/>
      <c r="AS47" s="5"/>
      <c r="AT47" s="5"/>
      <c r="AU47" s="5"/>
      <c r="AV47" s="5"/>
      <c r="AW47" s="5"/>
      <c r="AX47" s="5"/>
      <c r="AY47" s="5"/>
      <c r="AZ47" s="5"/>
      <c r="BA47" s="5"/>
      <c r="BB47" s="5" t="s">
        <v>1588</v>
      </c>
      <c r="BC47" s="5" t="s">
        <v>1587</v>
      </c>
      <c r="BD47" s="5" t="s">
        <v>1575</v>
      </c>
      <c r="BE47" s="5"/>
      <c r="BF47" s="5"/>
      <c r="BG47" s="5"/>
      <c r="BH47" s="5"/>
      <c r="BI47" s="48">
        <v>43</v>
      </c>
      <c r="BJ47" s="55" t="s">
        <v>2322</v>
      </c>
      <c r="BK47" s="20" t="s">
        <v>2163</v>
      </c>
      <c r="BL47" s="20" t="s">
        <v>2163</v>
      </c>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row>
    <row r="48" spans="5:97">
      <c r="E48" s="1" t="s">
        <v>2447</v>
      </c>
      <c r="H48" s="1">
        <v>59</v>
      </c>
      <c r="M48" s="6"/>
      <c r="N48" s="4" t="s">
        <v>1417</v>
      </c>
      <c r="P48" s="5" t="s">
        <v>2764</v>
      </c>
      <c r="Q48" s="4" t="s">
        <v>1428</v>
      </c>
      <c r="R48" s="4" t="s">
        <v>2099</v>
      </c>
      <c r="U48" s="5"/>
      <c r="V48" s="5"/>
      <c r="W48" s="5" t="s">
        <v>1677</v>
      </c>
      <c r="X48" s="5"/>
      <c r="Y48" s="5"/>
      <c r="Z48" s="5" t="s">
        <v>931</v>
      </c>
      <c r="AA48" s="5" t="s">
        <v>1733</v>
      </c>
      <c r="AB48" s="5"/>
      <c r="AC48" s="5"/>
      <c r="AD48" s="5"/>
      <c r="AE48" s="5"/>
      <c r="AF48" s="5"/>
      <c r="AG48" s="5"/>
      <c r="AH48" s="5"/>
      <c r="AI48" s="5" t="s">
        <v>227</v>
      </c>
      <c r="AJ48" s="5"/>
      <c r="AK48" s="5"/>
      <c r="AL48" s="5" t="s">
        <v>361</v>
      </c>
      <c r="AM48" s="5" t="s">
        <v>445</v>
      </c>
      <c r="AN48" s="5"/>
      <c r="AO48" s="5" t="s">
        <v>912</v>
      </c>
      <c r="AP48" s="5"/>
      <c r="AQ48" s="5"/>
      <c r="AR48" s="5"/>
      <c r="AS48" s="5"/>
      <c r="AT48" s="5"/>
      <c r="AU48" s="5"/>
      <c r="AV48" s="5"/>
      <c r="AW48" s="5"/>
      <c r="AX48" s="5"/>
      <c r="AY48" s="5"/>
      <c r="AZ48" s="5"/>
      <c r="BA48" s="5"/>
      <c r="BB48" s="5" t="s">
        <v>1576</v>
      </c>
      <c r="BC48" s="5" t="s">
        <v>1575</v>
      </c>
      <c r="BD48" s="5" t="s">
        <v>1575</v>
      </c>
      <c r="BE48" s="5"/>
      <c r="BF48" s="5"/>
      <c r="BG48" s="5"/>
      <c r="BH48" s="5"/>
      <c r="BI48" s="48">
        <v>44</v>
      </c>
      <c r="BJ48" s="55" t="s">
        <v>2300</v>
      </c>
      <c r="BK48" s="20" t="s">
        <v>2180</v>
      </c>
      <c r="BL48" s="20" t="s">
        <v>2181</v>
      </c>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row>
    <row r="49" spans="5:97">
      <c r="E49" s="1" t="s">
        <v>2487</v>
      </c>
      <c r="H49" s="1">
        <v>60</v>
      </c>
      <c r="J49" s="1" t="str">
        <f>UPPER(J25)</f>
        <v/>
      </c>
      <c r="N49" s="4" t="s">
        <v>1410</v>
      </c>
      <c r="P49" s="5" t="s">
        <v>2779</v>
      </c>
      <c r="Q49" s="4" t="s">
        <v>1513</v>
      </c>
      <c r="R49" s="4" t="s">
        <v>2100</v>
      </c>
      <c r="U49" s="5"/>
      <c r="V49" s="5"/>
      <c r="W49" s="5" t="s">
        <v>1661</v>
      </c>
      <c r="X49" s="5"/>
      <c r="Y49" s="5"/>
      <c r="Z49" s="5" t="s">
        <v>933</v>
      </c>
      <c r="AA49" s="5" t="s">
        <v>1719</v>
      </c>
      <c r="AB49" s="5"/>
      <c r="AC49" s="5"/>
      <c r="AD49" s="5"/>
      <c r="AE49" s="5"/>
      <c r="AF49" s="5"/>
      <c r="AG49" s="5"/>
      <c r="AH49" s="5"/>
      <c r="AI49" s="5" t="s">
        <v>212</v>
      </c>
      <c r="AJ49" s="5"/>
      <c r="AK49" s="5"/>
      <c r="AL49" s="5" t="s">
        <v>421</v>
      </c>
      <c r="AM49" s="5" t="s">
        <v>350</v>
      </c>
      <c r="AN49" s="5"/>
      <c r="AO49" s="5" t="s">
        <v>1225</v>
      </c>
      <c r="AP49" s="5"/>
      <c r="AQ49" s="5"/>
      <c r="AR49" s="5"/>
      <c r="AS49" s="5"/>
      <c r="AT49" s="5"/>
      <c r="AU49" s="5"/>
      <c r="AV49" s="5"/>
      <c r="AW49" s="5"/>
      <c r="AX49" s="5"/>
      <c r="AY49" s="5"/>
      <c r="AZ49" s="5"/>
      <c r="BA49" s="5"/>
      <c r="BB49" s="5" t="s">
        <v>1589</v>
      </c>
      <c r="BC49" s="5" t="s">
        <v>1575</v>
      </c>
      <c r="BD49" s="5" t="s">
        <v>1575</v>
      </c>
      <c r="BE49" s="5"/>
      <c r="BF49" s="5"/>
      <c r="BG49" s="5"/>
      <c r="BH49" s="5"/>
      <c r="BI49" s="48">
        <v>45</v>
      </c>
      <c r="BJ49" s="55" t="s">
        <v>2603</v>
      </c>
      <c r="BK49" s="20" t="s">
        <v>2180</v>
      </c>
      <c r="BL49" s="20" t="s">
        <v>2181</v>
      </c>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row>
    <row r="50" spans="5:97">
      <c r="E50" s="1" t="s">
        <v>2548</v>
      </c>
      <c r="H50" s="1">
        <v>61</v>
      </c>
      <c r="J50" s="1" t="str">
        <f>UPPER(J26)</f>
        <v/>
      </c>
      <c r="N50" s="4" t="s">
        <v>1407</v>
      </c>
      <c r="P50" s="5" t="s">
        <v>2820</v>
      </c>
      <c r="Q50" s="4" t="s">
        <v>1472</v>
      </c>
      <c r="R50" s="4" t="s">
        <v>2101</v>
      </c>
      <c r="U50" s="5"/>
      <c r="V50" s="5"/>
      <c r="W50" s="5" t="s">
        <v>1616</v>
      </c>
      <c r="X50" s="5"/>
      <c r="Y50" s="5"/>
      <c r="Z50" s="5" t="s">
        <v>992</v>
      </c>
      <c r="AA50" s="5" t="s">
        <v>731</v>
      </c>
      <c r="AB50" s="5"/>
      <c r="AC50" s="5"/>
      <c r="AD50" s="5"/>
      <c r="AE50" s="5"/>
      <c r="AF50" s="5"/>
      <c r="AG50" s="5"/>
      <c r="AH50" s="5"/>
      <c r="AI50" s="5" t="s">
        <v>210</v>
      </c>
      <c r="AJ50" s="5"/>
      <c r="AK50" s="5"/>
      <c r="AL50" s="5" t="s">
        <v>357</v>
      </c>
      <c r="AM50" s="5" t="s">
        <v>317</v>
      </c>
      <c r="AN50" s="5"/>
      <c r="AO50" s="5" t="s">
        <v>892</v>
      </c>
      <c r="AP50" s="5"/>
      <c r="AQ50" s="5"/>
      <c r="AR50" s="5"/>
      <c r="AS50" s="5"/>
      <c r="AT50" s="5"/>
      <c r="AU50" s="5"/>
      <c r="AV50" s="5"/>
      <c r="AW50" s="5"/>
      <c r="AX50" s="5"/>
      <c r="AY50" s="5"/>
      <c r="AZ50" s="5"/>
      <c r="BA50" s="5"/>
      <c r="BB50" s="5" t="s">
        <v>1590</v>
      </c>
      <c r="BC50" s="5" t="s">
        <v>1575</v>
      </c>
      <c r="BD50" s="5" t="s">
        <v>1575</v>
      </c>
      <c r="BE50" s="5"/>
      <c r="BF50" s="5"/>
      <c r="BG50" s="5"/>
      <c r="BH50" s="5"/>
      <c r="BI50" s="48">
        <v>46</v>
      </c>
      <c r="BJ50" s="55" t="s">
        <v>2302</v>
      </c>
      <c r="BK50" s="20" t="s">
        <v>2180</v>
      </c>
      <c r="BL50" s="20" t="s">
        <v>2181</v>
      </c>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row>
    <row r="51" spans="5:97">
      <c r="E51" s="1" t="s">
        <v>2549</v>
      </c>
      <c r="H51" s="1">
        <v>62</v>
      </c>
      <c r="J51" s="1" t="str">
        <f>UPPER(J27)</f>
        <v/>
      </c>
      <c r="N51" s="4" t="s">
        <v>1411</v>
      </c>
      <c r="P51" s="5" t="s">
        <v>2683</v>
      </c>
      <c r="Q51" s="4" t="s">
        <v>1473</v>
      </c>
      <c r="R51" s="4" t="s">
        <v>2102</v>
      </c>
      <c r="U51" s="5"/>
      <c r="V51" s="5"/>
      <c r="W51" s="5" t="s">
        <v>1696</v>
      </c>
      <c r="X51" s="5"/>
      <c r="Y51" s="5"/>
      <c r="Z51" s="5" t="s">
        <v>927</v>
      </c>
      <c r="AA51" s="5" t="s">
        <v>725</v>
      </c>
      <c r="AB51" s="5"/>
      <c r="AC51" s="5"/>
      <c r="AD51" s="5"/>
      <c r="AE51" s="5"/>
      <c r="AF51" s="5"/>
      <c r="AG51" s="5"/>
      <c r="AH51" s="5"/>
      <c r="AI51" s="5" t="s">
        <v>282</v>
      </c>
      <c r="AJ51" s="5"/>
      <c r="AK51" s="5"/>
      <c r="AL51" s="5" t="s">
        <v>408</v>
      </c>
      <c r="AM51" s="5" t="s">
        <v>452</v>
      </c>
      <c r="AN51" s="5"/>
      <c r="AO51" s="5" t="s">
        <v>1224</v>
      </c>
      <c r="AP51" s="5"/>
      <c r="AQ51" s="5"/>
      <c r="AR51" s="5"/>
      <c r="AS51" s="5"/>
      <c r="AT51" s="5"/>
      <c r="AU51" s="5"/>
      <c r="AV51" s="5"/>
      <c r="AW51" s="5"/>
      <c r="AX51" s="5"/>
      <c r="AY51" s="5"/>
      <c r="AZ51" s="5"/>
      <c r="BA51" s="5"/>
      <c r="BB51" s="5" t="s">
        <v>1594</v>
      </c>
      <c r="BC51" s="5" t="s">
        <v>1575</v>
      </c>
      <c r="BD51" s="5" t="s">
        <v>1575</v>
      </c>
      <c r="BE51" s="5"/>
      <c r="BF51" s="5"/>
      <c r="BG51" s="5"/>
      <c r="BH51" s="5"/>
      <c r="BI51" s="48">
        <v>47</v>
      </c>
      <c r="BJ51" s="55" t="s">
        <v>2604</v>
      </c>
      <c r="BK51" s="20" t="s">
        <v>2169</v>
      </c>
      <c r="BL51" s="20" t="s">
        <v>2174</v>
      </c>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row>
    <row r="52" spans="5:97">
      <c r="E52" s="1" t="s">
        <v>2448</v>
      </c>
      <c r="H52" s="1">
        <v>63</v>
      </c>
      <c r="N52" s="4" t="s">
        <v>1369</v>
      </c>
      <c r="P52" s="5" t="s">
        <v>2680</v>
      </c>
      <c r="Q52" s="4" t="s">
        <v>1474</v>
      </c>
      <c r="U52" s="5"/>
      <c r="V52" s="5"/>
      <c r="W52" s="5" t="s">
        <v>1663</v>
      </c>
      <c r="X52" s="5"/>
      <c r="Y52" s="5"/>
      <c r="Z52" s="5" t="s">
        <v>1335</v>
      </c>
      <c r="AA52" s="5"/>
      <c r="AB52" s="5"/>
      <c r="AC52" s="5"/>
      <c r="AD52" s="5"/>
      <c r="AE52" s="5"/>
      <c r="AF52" s="5"/>
      <c r="AG52" s="5"/>
      <c r="AH52" s="5"/>
      <c r="AI52" s="5" t="s">
        <v>232</v>
      </c>
      <c r="AJ52" s="5"/>
      <c r="AK52" s="5"/>
      <c r="AL52" s="5"/>
      <c r="AM52" s="5" t="s">
        <v>437</v>
      </c>
      <c r="AN52" s="5"/>
      <c r="AO52" s="5" t="s">
        <v>905</v>
      </c>
      <c r="AP52" s="5"/>
      <c r="AQ52" s="5"/>
      <c r="AR52" s="5"/>
      <c r="AS52" s="5"/>
      <c r="AT52" s="5"/>
      <c r="AU52" s="5"/>
      <c r="AV52" s="5"/>
      <c r="AW52" s="5"/>
      <c r="AX52" s="5"/>
      <c r="AY52" s="5"/>
      <c r="AZ52" s="5"/>
      <c r="BA52" s="5"/>
      <c r="BB52" s="5" t="s">
        <v>1595</v>
      </c>
      <c r="BC52" s="5" t="s">
        <v>1575</v>
      </c>
      <c r="BD52" s="5" t="s">
        <v>1575</v>
      </c>
      <c r="BE52" s="5"/>
      <c r="BF52" s="5"/>
      <c r="BG52" s="5"/>
      <c r="BH52" s="5"/>
      <c r="BI52" s="48">
        <v>48</v>
      </c>
      <c r="BJ52" s="55" t="s">
        <v>2292</v>
      </c>
      <c r="BK52" s="20" t="s">
        <v>2159</v>
      </c>
      <c r="BL52" s="20" t="s">
        <v>2162</v>
      </c>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row>
    <row r="53" spans="5:97">
      <c r="E53" s="1" t="s">
        <v>2488</v>
      </c>
      <c r="H53" s="1">
        <v>64</v>
      </c>
      <c r="N53" s="4" t="s">
        <v>1413</v>
      </c>
      <c r="P53" s="5" t="s">
        <v>2775</v>
      </c>
      <c r="Q53" s="4" t="s">
        <v>1475</v>
      </c>
      <c r="U53" s="5"/>
      <c r="V53" s="5"/>
      <c r="W53" s="5" t="s">
        <v>1646</v>
      </c>
      <c r="X53" s="5"/>
      <c r="Y53" s="5"/>
      <c r="Z53" s="5" t="s">
        <v>929</v>
      </c>
      <c r="AA53" s="5"/>
      <c r="AB53" s="5"/>
      <c r="AC53" s="5"/>
      <c r="AD53" s="5"/>
      <c r="AE53" s="5"/>
      <c r="AF53" s="5"/>
      <c r="AG53" s="5"/>
      <c r="AH53" s="5"/>
      <c r="AI53" s="5" t="s">
        <v>259</v>
      </c>
      <c r="AJ53" s="5"/>
      <c r="AK53" s="5"/>
      <c r="AL53" s="5"/>
      <c r="AM53" s="5" t="s">
        <v>434</v>
      </c>
      <c r="AN53" s="5"/>
      <c r="AO53" s="5"/>
      <c r="AP53" s="5"/>
      <c r="AQ53" s="5"/>
      <c r="AR53" s="5"/>
      <c r="AS53" s="5"/>
      <c r="AT53" s="5"/>
      <c r="AU53" s="5"/>
      <c r="AV53" s="5"/>
      <c r="AW53" s="5"/>
      <c r="AX53" s="5"/>
      <c r="AY53" s="5"/>
      <c r="AZ53" s="5"/>
      <c r="BA53" s="5"/>
      <c r="BB53" s="5" t="s">
        <v>2000</v>
      </c>
      <c r="BC53" s="5" t="s">
        <v>1575</v>
      </c>
      <c r="BD53" s="5" t="s">
        <v>1575</v>
      </c>
      <c r="BE53" s="5"/>
      <c r="BF53" s="5"/>
      <c r="BG53" s="5"/>
      <c r="BH53" s="5"/>
      <c r="BI53" s="48">
        <v>49</v>
      </c>
      <c r="BJ53" s="55" t="s">
        <v>2293</v>
      </c>
      <c r="BK53" s="20" t="s">
        <v>2169</v>
      </c>
      <c r="BL53" s="20" t="s">
        <v>2174</v>
      </c>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row>
    <row r="54" spans="5:97">
      <c r="E54" s="1" t="s">
        <v>2449</v>
      </c>
      <c r="H54" s="1">
        <v>65</v>
      </c>
      <c r="N54" s="4" t="s">
        <v>1409</v>
      </c>
      <c r="P54" s="5" t="s">
        <v>2781</v>
      </c>
      <c r="Q54" s="4" t="s">
        <v>1468</v>
      </c>
      <c r="U54" s="5"/>
      <c r="V54" s="5"/>
      <c r="W54" s="5" t="s">
        <v>1640</v>
      </c>
      <c r="X54" s="5"/>
      <c r="Y54" s="5"/>
      <c r="Z54" s="5"/>
      <c r="AA54" s="5"/>
      <c r="AB54" s="5"/>
      <c r="AC54" s="5"/>
      <c r="AD54" s="5"/>
      <c r="AE54" s="5"/>
      <c r="AF54" s="5"/>
      <c r="AG54" s="5"/>
      <c r="AH54" s="5"/>
      <c r="AI54" s="5" t="s">
        <v>277</v>
      </c>
      <c r="AJ54" s="5"/>
      <c r="AK54" s="5"/>
      <c r="AL54" s="5"/>
      <c r="AM54" s="5" t="s">
        <v>332</v>
      </c>
      <c r="AN54" s="5"/>
      <c r="AO54" s="5"/>
      <c r="AP54" s="5"/>
      <c r="AQ54" s="5"/>
      <c r="AR54" s="5"/>
      <c r="AS54" s="5"/>
      <c r="AT54" s="5"/>
      <c r="AU54" s="5"/>
      <c r="AV54" s="5"/>
      <c r="AW54" s="5"/>
      <c r="AX54" s="5"/>
      <c r="AY54" s="5"/>
      <c r="AZ54" s="5"/>
      <c r="BA54" s="5"/>
      <c r="BB54" s="5" t="s">
        <v>1388</v>
      </c>
      <c r="BC54" s="5" t="s">
        <v>1575</v>
      </c>
      <c r="BD54" s="5" t="s">
        <v>1575</v>
      </c>
      <c r="BE54" s="5"/>
      <c r="BF54" s="5"/>
      <c r="BG54" s="5"/>
      <c r="BH54" s="5"/>
      <c r="BI54" s="48">
        <v>50</v>
      </c>
      <c r="BJ54" s="55" t="s">
        <v>2572</v>
      </c>
      <c r="BK54" s="20" t="s">
        <v>2169</v>
      </c>
      <c r="BL54" s="20" t="s">
        <v>2174</v>
      </c>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row>
    <row r="55" spans="5:97">
      <c r="E55" s="1" t="s">
        <v>2451</v>
      </c>
      <c r="H55" s="1">
        <v>66</v>
      </c>
      <c r="N55" s="4" t="s">
        <v>1418</v>
      </c>
      <c r="P55" s="5" t="s">
        <v>2671</v>
      </c>
      <c r="Q55" s="4" t="s">
        <v>1467</v>
      </c>
      <c r="U55" s="5"/>
      <c r="V55" s="5"/>
      <c r="W55" s="5" t="s">
        <v>1672</v>
      </c>
      <c r="X55" s="5"/>
      <c r="Y55" s="5"/>
      <c r="Z55" s="5"/>
      <c r="AA55" s="5"/>
      <c r="AB55" s="5"/>
      <c r="AC55" s="5"/>
      <c r="AD55" s="5"/>
      <c r="AE55" s="5"/>
      <c r="AF55" s="5"/>
      <c r="AG55" s="5"/>
      <c r="AH55" s="5"/>
      <c r="AI55" s="5" t="s">
        <v>220</v>
      </c>
      <c r="AJ55" s="5"/>
      <c r="AK55" s="5"/>
      <c r="AL55" s="5"/>
      <c r="AM55" s="5"/>
      <c r="AN55" s="5"/>
      <c r="AO55" s="5"/>
      <c r="AP55" s="5"/>
      <c r="AQ55" s="5"/>
      <c r="AR55" s="5"/>
      <c r="AS55" s="5"/>
      <c r="AT55" s="5"/>
      <c r="AU55" s="5"/>
      <c r="AV55" s="5"/>
      <c r="AW55" s="5"/>
      <c r="AX55" s="5"/>
      <c r="AY55" s="5"/>
      <c r="AZ55" s="5"/>
      <c r="BA55" s="5"/>
      <c r="BB55" s="5" t="s">
        <v>1389</v>
      </c>
      <c r="BC55" s="5" t="s">
        <v>1575</v>
      </c>
      <c r="BD55" s="5" t="s">
        <v>1575</v>
      </c>
      <c r="BE55" s="5"/>
      <c r="BF55" s="5"/>
      <c r="BG55" s="5"/>
      <c r="BH55" s="5"/>
      <c r="BI55" s="48">
        <v>51</v>
      </c>
      <c r="BJ55" s="55" t="s">
        <v>2366</v>
      </c>
      <c r="BK55" s="20" t="s">
        <v>33</v>
      </c>
      <c r="BL55" s="20" t="s">
        <v>2557</v>
      </c>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row>
    <row r="56" spans="5:97">
      <c r="E56" s="1" t="s">
        <v>2452</v>
      </c>
      <c r="H56" s="1">
        <v>67</v>
      </c>
      <c r="N56" s="4" t="s">
        <v>1412</v>
      </c>
      <c r="P56" s="5" t="s">
        <v>2677</v>
      </c>
      <c r="Q56" s="4" t="s">
        <v>1480</v>
      </c>
      <c r="U56" s="5"/>
      <c r="V56" s="5"/>
      <c r="W56" s="5" t="s">
        <v>1673</v>
      </c>
      <c r="X56" s="5"/>
      <c r="Y56" s="5"/>
      <c r="Z56" s="5"/>
      <c r="AA56" s="5"/>
      <c r="AB56" s="5"/>
      <c r="AC56" s="5"/>
      <c r="AD56" s="5"/>
      <c r="AE56" s="5"/>
      <c r="AF56" s="5"/>
      <c r="AG56" s="5"/>
      <c r="AH56" s="5"/>
      <c r="AI56" s="5" t="s">
        <v>218</v>
      </c>
      <c r="AJ56" s="5"/>
      <c r="AK56" s="5"/>
      <c r="AL56" s="5"/>
      <c r="AM56" s="5"/>
      <c r="AN56" s="5"/>
      <c r="AO56" s="5"/>
      <c r="AP56" s="5"/>
      <c r="AQ56" s="5"/>
      <c r="AR56" s="5"/>
      <c r="AS56" s="5"/>
      <c r="AT56" s="5"/>
      <c r="AU56" s="5"/>
      <c r="AV56" s="5"/>
      <c r="AW56" s="5"/>
      <c r="AX56" s="5"/>
      <c r="AY56" s="5"/>
      <c r="AZ56" s="5"/>
      <c r="BA56" s="5"/>
      <c r="BB56" s="5" t="s">
        <v>1592</v>
      </c>
      <c r="BC56" s="5" t="s">
        <v>1591</v>
      </c>
      <c r="BD56" s="5" t="s">
        <v>1575</v>
      </c>
      <c r="BE56" s="5"/>
      <c r="BF56" s="5"/>
      <c r="BG56" s="5"/>
      <c r="BH56" s="5"/>
      <c r="BI56" s="48">
        <v>52</v>
      </c>
      <c r="BJ56" s="55" t="s">
        <v>2368</v>
      </c>
      <c r="BK56" s="20" t="s">
        <v>2159</v>
      </c>
      <c r="BL56" s="20" t="s">
        <v>2162</v>
      </c>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row>
    <row r="57" spans="5:97">
      <c r="E57" s="1" t="s">
        <v>2550</v>
      </c>
      <c r="H57" s="1">
        <v>68</v>
      </c>
      <c r="N57" s="4" t="s">
        <v>1408</v>
      </c>
      <c r="P57" s="5" t="s">
        <v>2816</v>
      </c>
      <c r="Q57" s="4" t="s">
        <v>1469</v>
      </c>
      <c r="U57" s="5"/>
      <c r="V57" s="5"/>
      <c r="W57" s="5" t="s">
        <v>1603</v>
      </c>
      <c r="X57" s="5"/>
      <c r="Y57" s="5"/>
      <c r="Z57" s="5"/>
      <c r="AA57" s="5"/>
      <c r="AB57" s="5"/>
      <c r="AC57" s="5"/>
      <c r="AD57" s="5"/>
      <c r="AE57" s="5"/>
      <c r="AF57" s="5"/>
      <c r="AG57" s="5"/>
      <c r="AH57" s="5"/>
      <c r="AI57" s="5" t="s">
        <v>279</v>
      </c>
      <c r="AJ57" s="5"/>
      <c r="AK57" s="5"/>
      <c r="AL57" s="5"/>
      <c r="AM57" s="5"/>
      <c r="AN57" s="5"/>
      <c r="AO57" s="5"/>
      <c r="AP57" s="5"/>
      <c r="AQ57" s="5"/>
      <c r="AR57" s="5"/>
      <c r="AS57" s="5"/>
      <c r="AT57" s="5"/>
      <c r="AU57" s="5"/>
      <c r="AV57" s="5"/>
      <c r="AW57" s="5"/>
      <c r="AX57" s="5"/>
      <c r="AY57" s="5"/>
      <c r="AZ57" s="5"/>
      <c r="BA57" s="5"/>
      <c r="BB57" s="5" t="s">
        <v>1539</v>
      </c>
      <c r="BC57" s="5" t="s">
        <v>1538</v>
      </c>
      <c r="BD57" s="5" t="s">
        <v>1575</v>
      </c>
      <c r="BE57" s="5"/>
      <c r="BF57" s="5"/>
      <c r="BG57" s="5"/>
      <c r="BH57" s="5"/>
      <c r="BI57" s="48">
        <v>53</v>
      </c>
      <c r="BJ57" s="55" t="s">
        <v>2379</v>
      </c>
      <c r="BK57" s="20" t="s">
        <v>2163</v>
      </c>
      <c r="BL57" s="20" t="s">
        <v>2163</v>
      </c>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row>
    <row r="58" spans="5:97">
      <c r="E58" s="1" t="s">
        <v>2453</v>
      </c>
      <c r="H58" s="1">
        <v>69</v>
      </c>
      <c r="N58" s="4" t="s">
        <v>1414</v>
      </c>
      <c r="P58" s="5" t="s">
        <v>2811</v>
      </c>
      <c r="Q58" s="4" t="s">
        <v>1470</v>
      </c>
      <c r="U58" s="5"/>
      <c r="V58" s="5"/>
      <c r="W58" s="5" t="s">
        <v>1600</v>
      </c>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t="s">
        <v>1584</v>
      </c>
      <c r="BC58" s="5" t="s">
        <v>1583</v>
      </c>
      <c r="BD58" s="5" t="s">
        <v>1575</v>
      </c>
      <c r="BE58" s="5"/>
      <c r="BF58" s="5"/>
      <c r="BG58" s="5"/>
      <c r="BH58" s="5"/>
      <c r="BI58" s="48">
        <v>54</v>
      </c>
      <c r="BJ58" s="55" t="s">
        <v>2376</v>
      </c>
      <c r="BK58" s="20" t="s">
        <v>2163</v>
      </c>
      <c r="BL58" s="20" t="s">
        <v>2163</v>
      </c>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row>
    <row r="59" spans="5:97">
      <c r="E59" s="1" t="s">
        <v>2473</v>
      </c>
      <c r="H59" s="1">
        <v>70</v>
      </c>
      <c r="N59" s="4" t="s">
        <v>1402</v>
      </c>
      <c r="P59" s="5" t="s">
        <v>2727</v>
      </c>
      <c r="Q59" s="4" t="s">
        <v>1517</v>
      </c>
      <c r="U59" s="5"/>
      <c r="V59" s="5"/>
      <c r="W59" s="5" t="s">
        <v>1682</v>
      </c>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t="s">
        <v>1700</v>
      </c>
      <c r="BC59" s="5" t="s">
        <v>1699</v>
      </c>
      <c r="BD59" s="5" t="s">
        <v>1665</v>
      </c>
      <c r="BE59" s="5"/>
      <c r="BF59" s="5"/>
      <c r="BG59" s="5"/>
      <c r="BH59" s="5"/>
      <c r="BI59" s="48">
        <v>55</v>
      </c>
      <c r="BJ59" s="55" t="s">
        <v>2383</v>
      </c>
      <c r="BK59" s="20" t="s">
        <v>2163</v>
      </c>
      <c r="BL59" s="20" t="s">
        <v>2163</v>
      </c>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row>
    <row r="60" spans="5:97">
      <c r="E60" s="1" t="s">
        <v>2474</v>
      </c>
      <c r="H60" s="1">
        <v>71</v>
      </c>
      <c r="N60" s="4" t="s">
        <v>1348</v>
      </c>
      <c r="P60" s="5" t="s">
        <v>2804</v>
      </c>
      <c r="Q60" s="4" t="s">
        <v>1453</v>
      </c>
      <c r="U60" s="5"/>
      <c r="V60" s="5"/>
      <c r="W60" s="5" t="s">
        <v>1612</v>
      </c>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t="s">
        <v>1704</v>
      </c>
      <c r="BC60" s="5" t="s">
        <v>1703</v>
      </c>
      <c r="BD60" s="5" t="s">
        <v>1665</v>
      </c>
      <c r="BE60" s="5"/>
      <c r="BF60" s="5"/>
      <c r="BG60" s="5"/>
      <c r="BH60" s="5"/>
      <c r="BI60" s="48">
        <v>56</v>
      </c>
      <c r="BJ60" s="55" t="s">
        <v>2391</v>
      </c>
      <c r="BK60" s="20" t="s">
        <v>2163</v>
      </c>
      <c r="BL60" s="20" t="s">
        <v>2163</v>
      </c>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row>
    <row r="61" spans="5:97">
      <c r="E61" s="1" t="s">
        <v>2454</v>
      </c>
      <c r="H61" s="1">
        <v>72</v>
      </c>
      <c r="N61" s="4" t="s">
        <v>1390</v>
      </c>
      <c r="P61" s="5" t="s">
        <v>2813</v>
      </c>
      <c r="Q61" s="4" t="s">
        <v>1476</v>
      </c>
      <c r="U61" s="5"/>
      <c r="V61" s="5"/>
      <c r="W61" s="5" t="s">
        <v>1610</v>
      </c>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t="s">
        <v>1702</v>
      </c>
      <c r="BC61" s="5" t="s">
        <v>1701</v>
      </c>
      <c r="BD61" s="5" t="s">
        <v>1665</v>
      </c>
      <c r="BE61" s="5"/>
      <c r="BF61" s="5"/>
      <c r="BG61" s="5"/>
      <c r="BH61" s="5"/>
      <c r="BI61" s="48">
        <v>57</v>
      </c>
      <c r="BJ61" s="55" t="s">
        <v>2646</v>
      </c>
      <c r="BK61" s="20" t="s">
        <v>2159</v>
      </c>
      <c r="BL61" s="20" t="s">
        <v>2161</v>
      </c>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row>
    <row r="62" spans="5:97">
      <c r="E62" s="1" t="s">
        <v>2455</v>
      </c>
      <c r="H62" s="1">
        <v>73</v>
      </c>
      <c r="N62" s="4" t="s">
        <v>1547</v>
      </c>
      <c r="P62" s="5" t="s">
        <v>2748</v>
      </c>
      <c r="Q62" s="4" t="s">
        <v>1477</v>
      </c>
      <c r="U62" s="5"/>
      <c r="V62" s="5"/>
      <c r="W62" s="5" t="s">
        <v>1624</v>
      </c>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t="s">
        <v>1666</v>
      </c>
      <c r="BC62" s="5" t="s">
        <v>1665</v>
      </c>
      <c r="BD62" s="5" t="s">
        <v>1665</v>
      </c>
      <c r="BE62" s="5"/>
      <c r="BF62" s="5"/>
      <c r="BG62" s="5"/>
      <c r="BH62" s="5"/>
      <c r="BI62" s="48">
        <v>58</v>
      </c>
      <c r="BJ62" s="55" t="s">
        <v>2645</v>
      </c>
      <c r="BK62" s="20" t="s">
        <v>2159</v>
      </c>
      <c r="BL62" s="20" t="s">
        <v>2161</v>
      </c>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row>
    <row r="63" spans="5:97">
      <c r="E63" s="1" t="s">
        <v>2456</v>
      </c>
      <c r="H63" s="1">
        <v>74</v>
      </c>
      <c r="P63" s="5" t="s">
        <v>2725</v>
      </c>
      <c r="Q63" s="4" t="s">
        <v>1478</v>
      </c>
      <c r="U63" s="5"/>
      <c r="V63" s="5"/>
      <c r="W63" s="5" t="s">
        <v>1622</v>
      </c>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t="s">
        <v>1697</v>
      </c>
      <c r="BC63" s="5" t="s">
        <v>1665</v>
      </c>
      <c r="BD63" s="5" t="s">
        <v>1665</v>
      </c>
      <c r="BE63" s="5"/>
      <c r="BF63" s="5"/>
      <c r="BG63" s="5"/>
      <c r="BH63" s="5"/>
      <c r="BI63" s="48">
        <v>59</v>
      </c>
      <c r="BJ63" s="55" t="s">
        <v>2511</v>
      </c>
      <c r="BK63" s="20" t="s">
        <v>2163</v>
      </c>
      <c r="BL63" s="20" t="s">
        <v>2163</v>
      </c>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row>
    <row r="64" spans="5:97">
      <c r="E64" s="1" t="s">
        <v>2475</v>
      </c>
      <c r="H64" s="1">
        <v>75</v>
      </c>
      <c r="P64" s="5" t="s">
        <v>2724</v>
      </c>
      <c r="Q64" s="4" t="s">
        <v>1479</v>
      </c>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t="s">
        <v>1698</v>
      </c>
      <c r="BC64" s="5" t="s">
        <v>1665</v>
      </c>
      <c r="BD64" s="5" t="s">
        <v>1665</v>
      </c>
      <c r="BE64" s="5"/>
      <c r="BF64" s="5"/>
      <c r="BG64" s="5"/>
      <c r="BH64" s="5"/>
      <c r="BI64" s="48">
        <v>60</v>
      </c>
      <c r="BJ64" s="55" t="s">
        <v>2349</v>
      </c>
      <c r="BK64" s="20" t="s">
        <v>2163</v>
      </c>
      <c r="BL64" s="20" t="s">
        <v>2163</v>
      </c>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row>
    <row r="65" spans="5:97">
      <c r="E65" s="1" t="s">
        <v>2484</v>
      </c>
      <c r="H65" s="1">
        <v>76</v>
      </c>
      <c r="P65" s="5" t="s">
        <v>2732</v>
      </c>
      <c r="Q65" s="4" t="s">
        <v>1514</v>
      </c>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t="s">
        <v>1712</v>
      </c>
      <c r="BC65" s="5" t="s">
        <v>1711</v>
      </c>
      <c r="BD65" s="5" t="s">
        <v>1705</v>
      </c>
      <c r="BE65" s="5"/>
      <c r="BF65" s="5"/>
      <c r="BG65" s="5"/>
      <c r="BH65" s="5"/>
      <c r="BI65" s="48">
        <v>61</v>
      </c>
      <c r="BJ65" s="55" t="s">
        <v>2512</v>
      </c>
      <c r="BK65" s="20" t="s">
        <v>2159</v>
      </c>
      <c r="BL65" s="20" t="s">
        <v>2161</v>
      </c>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row>
    <row r="66" spans="5:97">
      <c r="E66" s="1" t="s">
        <v>2457</v>
      </c>
      <c r="H66" s="1">
        <v>77</v>
      </c>
      <c r="P66" s="5" t="s">
        <v>2814</v>
      </c>
      <c r="Q66" s="4" t="s">
        <v>1454</v>
      </c>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t="s">
        <v>1709</v>
      </c>
      <c r="BC66" s="5" t="s">
        <v>1708</v>
      </c>
      <c r="BD66" s="5" t="s">
        <v>1705</v>
      </c>
      <c r="BE66" s="5"/>
      <c r="BF66" s="5"/>
      <c r="BG66" s="5"/>
      <c r="BH66" s="5"/>
      <c r="BI66" s="48">
        <v>62</v>
      </c>
      <c r="BJ66" s="55" t="s">
        <v>2513</v>
      </c>
      <c r="BK66" s="20" t="s">
        <v>2159</v>
      </c>
      <c r="BL66" s="20" t="s">
        <v>2161</v>
      </c>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row>
    <row r="67" spans="5:97">
      <c r="E67" s="1" t="s">
        <v>2458</v>
      </c>
      <c r="H67" s="1">
        <v>78</v>
      </c>
      <c r="P67" s="5" t="s">
        <v>2673</v>
      </c>
      <c r="Q67" s="4" t="s">
        <v>1448</v>
      </c>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t="s">
        <v>1707</v>
      </c>
      <c r="BC67" s="5" t="s">
        <v>1996</v>
      </c>
      <c r="BD67" s="5" t="s">
        <v>1705</v>
      </c>
      <c r="BE67" s="5"/>
      <c r="BF67" s="5"/>
      <c r="BG67" s="5"/>
      <c r="BH67" s="5"/>
      <c r="BI67" s="48">
        <v>63</v>
      </c>
      <c r="BJ67" s="55" t="s">
        <v>2263</v>
      </c>
      <c r="BK67" s="20" t="s">
        <v>2159</v>
      </c>
      <c r="BL67" s="20" t="s">
        <v>2161</v>
      </c>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row>
    <row r="68" spans="5:97">
      <c r="E68" s="1" t="s">
        <v>2459</v>
      </c>
      <c r="H68" s="1">
        <v>79</v>
      </c>
      <c r="P68" s="5" t="s">
        <v>2686</v>
      </c>
      <c r="Q68" s="4" t="s">
        <v>1482</v>
      </c>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t="s">
        <v>1714</v>
      </c>
      <c r="BC68" s="5" t="s">
        <v>1713</v>
      </c>
      <c r="BD68" s="5" t="s">
        <v>1705</v>
      </c>
      <c r="BE68" s="5"/>
      <c r="BF68" s="5"/>
      <c r="BG68" s="5"/>
      <c r="BH68" s="5"/>
      <c r="BI68" s="48">
        <v>64</v>
      </c>
      <c r="BJ68" s="55" t="s">
        <v>2264</v>
      </c>
      <c r="BK68" s="20" t="s">
        <v>2159</v>
      </c>
      <c r="BL68" s="20" t="s">
        <v>2161</v>
      </c>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row>
    <row r="69" spans="5:97">
      <c r="E69" s="1" t="s">
        <v>2476</v>
      </c>
      <c r="H69" s="1">
        <v>80</v>
      </c>
      <c r="P69" s="5" t="s">
        <v>2715</v>
      </c>
      <c r="Q69" s="4" t="s">
        <v>1483</v>
      </c>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t="s">
        <v>1706</v>
      </c>
      <c r="BC69" s="5" t="s">
        <v>1705</v>
      </c>
      <c r="BD69" s="5" t="s">
        <v>1705</v>
      </c>
      <c r="BE69" s="5"/>
      <c r="BF69" s="5"/>
      <c r="BG69" s="5"/>
      <c r="BH69" s="5"/>
      <c r="BI69" s="48">
        <v>65</v>
      </c>
      <c r="BJ69" s="55" t="s">
        <v>2328</v>
      </c>
      <c r="BK69" s="20" t="s">
        <v>2183</v>
      </c>
      <c r="BL69" s="20" t="s">
        <v>2184</v>
      </c>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row>
    <row r="70" spans="5:97">
      <c r="E70" s="1" t="s">
        <v>2551</v>
      </c>
      <c r="H70" s="1">
        <v>81</v>
      </c>
      <c r="P70" s="5" t="s">
        <v>2716</v>
      </c>
      <c r="Q70" s="4" t="s">
        <v>1484</v>
      </c>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t="s">
        <v>1710</v>
      </c>
      <c r="BC70" s="5" t="s">
        <v>1705</v>
      </c>
      <c r="BD70" s="5" t="s">
        <v>1705</v>
      </c>
      <c r="BE70" s="5"/>
      <c r="BF70" s="5"/>
      <c r="BG70" s="5"/>
      <c r="BH70" s="5"/>
      <c r="BI70" s="48">
        <v>66</v>
      </c>
      <c r="BJ70" s="55" t="s">
        <v>2329</v>
      </c>
      <c r="BK70" s="20" t="s">
        <v>2183</v>
      </c>
      <c r="BL70" s="20" t="s">
        <v>2184</v>
      </c>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row>
    <row r="71" spans="5:97">
      <c r="E71" s="1" t="s">
        <v>2489</v>
      </c>
      <c r="H71" s="1">
        <v>82</v>
      </c>
      <c r="P71" s="5" t="s">
        <v>2704</v>
      </c>
      <c r="Q71" s="4" t="s">
        <v>1447</v>
      </c>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t="s">
        <v>1630</v>
      </c>
      <c r="BC71" s="5" t="s">
        <v>1629</v>
      </c>
      <c r="BD71" s="5" t="s">
        <v>1629</v>
      </c>
      <c r="BE71" s="5"/>
      <c r="BF71" s="5"/>
      <c r="BG71" s="5"/>
      <c r="BH71" s="5"/>
      <c r="BI71" s="48">
        <v>67</v>
      </c>
      <c r="BJ71" s="55" t="s">
        <v>2330</v>
      </c>
      <c r="BK71" s="20" t="s">
        <v>2183</v>
      </c>
      <c r="BL71" s="20" t="s">
        <v>2184</v>
      </c>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row>
    <row r="72" spans="5:97">
      <c r="E72" s="1" t="s">
        <v>2477</v>
      </c>
      <c r="H72" s="1">
        <v>83</v>
      </c>
      <c r="P72" s="5" t="s">
        <v>2774</v>
      </c>
      <c r="Q72" s="4" t="s">
        <v>1487</v>
      </c>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t="s">
        <v>1631</v>
      </c>
      <c r="BC72" s="5" t="s">
        <v>1629</v>
      </c>
      <c r="BD72" s="5" t="s">
        <v>1629</v>
      </c>
      <c r="BE72" s="5"/>
      <c r="BF72" s="5"/>
      <c r="BG72" s="5"/>
      <c r="BH72" s="5"/>
      <c r="BI72" s="48">
        <v>68</v>
      </c>
      <c r="BJ72" s="55" t="s">
        <v>2326</v>
      </c>
      <c r="BK72" s="20" t="s">
        <v>2183</v>
      </c>
      <c r="BL72" s="20" t="s">
        <v>2184</v>
      </c>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row>
    <row r="73" spans="5:97">
      <c r="E73" s="1" t="s">
        <v>2460</v>
      </c>
      <c r="H73" s="1">
        <v>84</v>
      </c>
      <c r="P73" s="5" t="s">
        <v>2769</v>
      </c>
      <c r="Q73" s="4" t="s">
        <v>1488</v>
      </c>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t="s">
        <v>1636</v>
      </c>
      <c r="BC73" s="5" t="s">
        <v>1629</v>
      </c>
      <c r="BD73" s="5" t="s">
        <v>1629</v>
      </c>
      <c r="BE73" s="5"/>
      <c r="BF73" s="5"/>
      <c r="BG73" s="5"/>
      <c r="BH73" s="5"/>
      <c r="BI73" s="48">
        <v>69</v>
      </c>
      <c r="BJ73" s="55" t="s">
        <v>2573</v>
      </c>
      <c r="BK73" s="20" t="s">
        <v>2183</v>
      </c>
      <c r="BL73" s="20" t="s">
        <v>2184</v>
      </c>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row>
    <row r="74" spans="5:97">
      <c r="E74" s="1" t="s">
        <v>2490</v>
      </c>
      <c r="H74" s="1">
        <v>85</v>
      </c>
      <c r="P74" s="5" t="s">
        <v>2685</v>
      </c>
      <c r="Q74" s="4" t="s">
        <v>1489</v>
      </c>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t="s">
        <v>1633</v>
      </c>
      <c r="BC74" s="5" t="s">
        <v>1632</v>
      </c>
      <c r="BD74" s="5" t="s">
        <v>1629</v>
      </c>
      <c r="BE74" s="5"/>
      <c r="BF74" s="5"/>
      <c r="BG74" s="5"/>
      <c r="BH74" s="5"/>
      <c r="BI74" s="48">
        <v>70</v>
      </c>
      <c r="BJ74" s="55" t="s">
        <v>2320</v>
      </c>
      <c r="BK74" s="20" t="s">
        <v>2163</v>
      </c>
      <c r="BL74" s="20" t="s">
        <v>2163</v>
      </c>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row>
    <row r="75" spans="5:97">
      <c r="E75" s="1" t="s">
        <v>2129</v>
      </c>
      <c r="H75" s="1">
        <v>86</v>
      </c>
      <c r="P75" s="5" t="s">
        <v>2815</v>
      </c>
      <c r="Q75" s="4" t="s">
        <v>1490</v>
      </c>
      <c r="U75" s="5"/>
      <c r="V75" s="5"/>
      <c r="W75" s="5"/>
      <c r="X75" s="5"/>
      <c r="Y75" s="5"/>
      <c r="Z75" s="5"/>
      <c r="AA75" s="5"/>
      <c r="AB75" s="5"/>
      <c r="AC75" s="5"/>
      <c r="AD75" s="5"/>
      <c r="AE75" s="5"/>
      <c r="AF75" s="5"/>
      <c r="AG75" s="5"/>
      <c r="AH75" s="5"/>
      <c r="AI75" s="5"/>
      <c r="AJ75" s="5"/>
      <c r="AK75" s="5"/>
      <c r="AL75" s="5"/>
      <c r="AM75" s="5"/>
      <c r="AN75" s="5"/>
      <c r="AO75" s="5"/>
      <c r="AQ75" s="5"/>
      <c r="AR75" s="5"/>
      <c r="AS75" s="5"/>
      <c r="AT75" s="5"/>
      <c r="AU75" s="5"/>
      <c r="AV75" s="5"/>
      <c r="AW75" s="5"/>
      <c r="AX75" s="5"/>
      <c r="AY75" s="5"/>
      <c r="AZ75" s="5"/>
      <c r="BA75" s="5"/>
      <c r="BB75" s="5" t="s">
        <v>1635</v>
      </c>
      <c r="BC75" s="5" t="s">
        <v>1634</v>
      </c>
      <c r="BD75" s="5" t="s">
        <v>1629</v>
      </c>
      <c r="BE75" s="5"/>
      <c r="BF75" s="5"/>
      <c r="BG75" s="5"/>
      <c r="BH75" s="5"/>
      <c r="BI75" s="48">
        <v>71</v>
      </c>
      <c r="BJ75" s="55" t="s">
        <v>2318</v>
      </c>
      <c r="BK75" s="20" t="s">
        <v>2163</v>
      </c>
      <c r="BL75" s="20" t="s">
        <v>2163</v>
      </c>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row>
    <row r="76" spans="5:97">
      <c r="E76" s="1" t="s">
        <v>2130</v>
      </c>
      <c r="H76" s="1">
        <v>87</v>
      </c>
      <c r="P76" s="5" t="s">
        <v>2759</v>
      </c>
      <c r="Q76" s="4" t="s">
        <v>1491</v>
      </c>
      <c r="U76" s="5"/>
      <c r="V76" s="5"/>
      <c r="W76" s="5"/>
      <c r="X76" s="5"/>
      <c r="Y76" s="5"/>
      <c r="Z76" s="5"/>
      <c r="AA76" s="5"/>
      <c r="AB76" s="5"/>
      <c r="AC76" s="5"/>
      <c r="AD76" s="5"/>
      <c r="AE76" s="5"/>
      <c r="AF76" s="5"/>
      <c r="AG76" s="5"/>
      <c r="AH76" s="5"/>
      <c r="AI76" s="5"/>
      <c r="AJ76" s="5"/>
      <c r="AK76" s="5"/>
      <c r="AL76" s="5"/>
      <c r="AM76" s="5"/>
      <c r="AN76" s="5"/>
      <c r="AO76" s="5"/>
      <c r="AQ76" s="5"/>
      <c r="AR76" s="5"/>
      <c r="AS76" s="5"/>
      <c r="AT76" s="5"/>
      <c r="AU76" s="5"/>
      <c r="AV76" s="5"/>
      <c r="AW76" s="5"/>
      <c r="AX76" s="5"/>
      <c r="AY76" s="5"/>
      <c r="AZ76" s="5"/>
      <c r="BA76" s="5"/>
      <c r="BB76" s="5" t="s">
        <v>1605</v>
      </c>
      <c r="BC76" s="5" t="s">
        <v>1604</v>
      </c>
      <c r="BD76" s="5" t="s">
        <v>1596</v>
      </c>
      <c r="BE76" s="5"/>
      <c r="BF76" s="5"/>
      <c r="BG76" s="5"/>
      <c r="BH76" s="5"/>
      <c r="BI76" s="48">
        <v>72</v>
      </c>
      <c r="BJ76" s="55" t="s">
        <v>2277</v>
      </c>
      <c r="BK76" s="20" t="s">
        <v>2175</v>
      </c>
      <c r="BL76" s="20" t="s">
        <v>2176</v>
      </c>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row>
    <row r="77" spans="5:97">
      <c r="E77" s="1" t="s">
        <v>2461</v>
      </c>
      <c r="H77" s="1">
        <v>88</v>
      </c>
      <c r="P77" s="5" t="s">
        <v>2700</v>
      </c>
      <c r="Q77" s="4" t="s">
        <v>1493</v>
      </c>
      <c r="U77" s="5"/>
      <c r="V77" s="5"/>
      <c r="W77" s="5"/>
      <c r="X77" s="5"/>
      <c r="Y77" s="5"/>
      <c r="Z77" s="5"/>
      <c r="AA77" s="5"/>
      <c r="AB77" s="5"/>
      <c r="AC77" s="5"/>
      <c r="AD77" s="5"/>
      <c r="AE77" s="5"/>
      <c r="AF77" s="5"/>
      <c r="AG77" s="5"/>
      <c r="AH77" s="5"/>
      <c r="AI77" s="5"/>
      <c r="AJ77" s="5"/>
      <c r="AK77" s="5"/>
      <c r="AL77" s="5"/>
      <c r="AM77" s="5"/>
      <c r="AN77" s="5"/>
      <c r="AO77" s="5"/>
      <c r="AQ77" s="5"/>
      <c r="AR77" s="5"/>
      <c r="AS77" s="5"/>
      <c r="AT77" s="5"/>
      <c r="AU77" s="5"/>
      <c r="AV77" s="5"/>
      <c r="AW77" s="5"/>
      <c r="AX77" s="5"/>
      <c r="AY77" s="5"/>
      <c r="AZ77" s="5"/>
      <c r="BA77" s="5"/>
      <c r="BB77" s="5" t="s">
        <v>1597</v>
      </c>
      <c r="BC77" s="5" t="s">
        <v>1596</v>
      </c>
      <c r="BD77" s="5" t="s">
        <v>1596</v>
      </c>
      <c r="BE77" s="5"/>
      <c r="BF77" s="5"/>
      <c r="BG77" s="5"/>
      <c r="BH77" s="5"/>
      <c r="BI77" s="48">
        <v>73</v>
      </c>
      <c r="BJ77" s="55" t="s">
        <v>2319</v>
      </c>
      <c r="BK77" s="20" t="s">
        <v>2163</v>
      </c>
      <c r="BL77" s="20" t="s">
        <v>2163</v>
      </c>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row>
    <row r="78" spans="5:97">
      <c r="E78" s="1" t="s">
        <v>2462</v>
      </c>
      <c r="H78" s="1">
        <v>89</v>
      </c>
      <c r="P78" s="5" t="s">
        <v>2705</v>
      </c>
      <c r="Q78" s="4" t="s">
        <v>1486</v>
      </c>
      <c r="U78" s="5"/>
      <c r="V78" s="5"/>
      <c r="W78" s="5"/>
      <c r="X78" s="5"/>
      <c r="Y78" s="5"/>
      <c r="Z78" s="5"/>
      <c r="AA78" s="5"/>
      <c r="AB78" s="5"/>
      <c r="AC78" s="5"/>
      <c r="AD78" s="5"/>
      <c r="AE78" s="5"/>
      <c r="AF78" s="5"/>
      <c r="AG78" s="5"/>
      <c r="AH78" s="5"/>
      <c r="AI78" s="5"/>
      <c r="AJ78" s="5"/>
      <c r="AK78" s="5"/>
      <c r="AL78" s="5"/>
      <c r="AM78" s="5"/>
      <c r="AN78" s="5"/>
      <c r="AO78" s="5"/>
      <c r="AQ78" s="5"/>
      <c r="AR78" s="5"/>
      <c r="AS78" s="5"/>
      <c r="AT78" s="5"/>
      <c r="AU78" s="5"/>
      <c r="AV78" s="5"/>
      <c r="AW78" s="5"/>
      <c r="AX78" s="5"/>
      <c r="AY78" s="5"/>
      <c r="AZ78" s="5"/>
      <c r="BA78" s="5"/>
      <c r="BB78" s="5" t="s">
        <v>1598</v>
      </c>
      <c r="BC78" s="5" t="s">
        <v>1596</v>
      </c>
      <c r="BD78" s="5" t="s">
        <v>1596</v>
      </c>
      <c r="BE78" s="5"/>
      <c r="BF78" s="5"/>
      <c r="BG78" s="5"/>
      <c r="BH78" s="5"/>
      <c r="BI78" s="48">
        <v>74</v>
      </c>
      <c r="BJ78" s="55" t="s">
        <v>2308</v>
      </c>
      <c r="BK78" s="20" t="s">
        <v>2180</v>
      </c>
      <c r="BL78" s="20" t="s">
        <v>2181</v>
      </c>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row>
    <row r="79" spans="5:97">
      <c r="E79" s="1" t="s">
        <v>2552</v>
      </c>
      <c r="H79" s="1">
        <v>90</v>
      </c>
      <c r="P79" s="5" t="s">
        <v>2791</v>
      </c>
      <c r="Q79" s="4" t="s">
        <v>1516</v>
      </c>
      <c r="U79" s="5"/>
      <c r="V79" s="5"/>
      <c r="W79" s="5"/>
      <c r="X79" s="5"/>
      <c r="Y79" s="5"/>
      <c r="Z79" s="5"/>
      <c r="AA79" s="5"/>
      <c r="AB79" s="5"/>
      <c r="AC79" s="5"/>
      <c r="AD79" s="5"/>
      <c r="AE79" s="5"/>
      <c r="AF79" s="5"/>
      <c r="AG79" s="5"/>
      <c r="AH79" s="5"/>
      <c r="AI79" s="5"/>
      <c r="AJ79" s="5"/>
      <c r="AK79" s="5"/>
      <c r="AL79" s="5"/>
      <c r="AM79" s="5"/>
      <c r="AN79" s="5"/>
      <c r="AO79" s="5"/>
      <c r="AQ79" s="5"/>
      <c r="AR79" s="5"/>
      <c r="AS79" s="5"/>
      <c r="AT79" s="5"/>
      <c r="AU79" s="5"/>
      <c r="AV79" s="5"/>
      <c r="AW79" s="5"/>
      <c r="AX79" s="5"/>
      <c r="AY79" s="5"/>
      <c r="AZ79" s="5"/>
      <c r="BA79" s="5"/>
      <c r="BB79" s="5" t="s">
        <v>1601</v>
      </c>
      <c r="BC79" s="5" t="s">
        <v>1596</v>
      </c>
      <c r="BD79" s="5" t="s">
        <v>1596</v>
      </c>
      <c r="BE79" s="5"/>
      <c r="BF79" s="5"/>
      <c r="BG79" s="5"/>
      <c r="BH79" s="5"/>
      <c r="BI79" s="48">
        <v>75</v>
      </c>
      <c r="BJ79" s="55" t="s">
        <v>2361</v>
      </c>
      <c r="BK79" s="20" t="s">
        <v>2163</v>
      </c>
      <c r="BL79" s="20" t="s">
        <v>2163</v>
      </c>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row>
    <row r="80" spans="5:97">
      <c r="E80" s="1" t="s">
        <v>2463</v>
      </c>
      <c r="H80" s="1">
        <v>91</v>
      </c>
      <c r="P80" s="5" t="s">
        <v>2731</v>
      </c>
      <c r="Q80" s="4" t="s">
        <v>1495</v>
      </c>
      <c r="U80" s="5"/>
      <c r="V80" s="5"/>
      <c r="W80" s="5"/>
      <c r="X80" s="5"/>
      <c r="Y80" s="5"/>
      <c r="Z80" s="5"/>
      <c r="AA80" s="5"/>
      <c r="AB80" s="5"/>
      <c r="AC80" s="5"/>
      <c r="AD80" s="5"/>
      <c r="AE80" s="5"/>
      <c r="AF80" s="5"/>
      <c r="AG80" s="5"/>
      <c r="AH80" s="5"/>
      <c r="AI80" s="5"/>
      <c r="AJ80" s="5"/>
      <c r="AK80" s="5"/>
      <c r="AL80" s="5"/>
      <c r="AM80" s="5"/>
      <c r="AN80" s="5"/>
      <c r="AO80" s="5"/>
      <c r="AQ80" s="5"/>
      <c r="AR80" s="5"/>
      <c r="AS80" s="5"/>
      <c r="AT80" s="5"/>
      <c r="AU80" s="5"/>
      <c r="AV80" s="5"/>
      <c r="AW80" s="5"/>
      <c r="AX80" s="5"/>
      <c r="AY80" s="5"/>
      <c r="AZ80" s="5"/>
      <c r="BB80" s="5" t="s">
        <v>1664</v>
      </c>
      <c r="BC80" s="5" t="s">
        <v>1596</v>
      </c>
      <c r="BD80" s="5" t="s">
        <v>1596</v>
      </c>
      <c r="BE80" s="5"/>
      <c r="BF80" s="5"/>
      <c r="BG80" s="5"/>
      <c r="BH80" s="5"/>
      <c r="BI80" s="48">
        <v>76</v>
      </c>
      <c r="BJ80" s="55" t="s">
        <v>2647</v>
      </c>
      <c r="BK80" s="20" t="s">
        <v>2165</v>
      </c>
      <c r="BL80" s="20" t="s">
        <v>2166</v>
      </c>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row>
    <row r="81" spans="5:97">
      <c r="E81" s="1" t="s">
        <v>2464</v>
      </c>
      <c r="H81" s="1">
        <v>92</v>
      </c>
      <c r="P81" s="5" t="s">
        <v>2760</v>
      </c>
      <c r="Q81" s="4" t="s">
        <v>1515</v>
      </c>
      <c r="U81" s="5"/>
      <c r="V81" s="5"/>
      <c r="W81" s="5"/>
      <c r="X81" s="5"/>
      <c r="Y81" s="5"/>
      <c r="Z81" s="5"/>
      <c r="AA81" s="5"/>
      <c r="AB81" s="5"/>
      <c r="AC81" s="5"/>
      <c r="AD81" s="5"/>
      <c r="AE81" s="5"/>
      <c r="AF81" s="5"/>
      <c r="AG81" s="5"/>
      <c r="AH81" s="5"/>
      <c r="AI81" s="5"/>
      <c r="AJ81" s="5"/>
      <c r="AK81" s="5"/>
      <c r="AL81" s="5"/>
      <c r="AM81" s="5"/>
      <c r="AN81" s="5"/>
      <c r="AO81" s="5"/>
      <c r="AQ81" s="5"/>
      <c r="AR81" s="5"/>
      <c r="AS81" s="5"/>
      <c r="AT81" s="5"/>
      <c r="AU81" s="5"/>
      <c r="AV81" s="5"/>
      <c r="AW81" s="5"/>
      <c r="AX81" s="5"/>
      <c r="AY81" s="5"/>
      <c r="AZ81" s="5"/>
      <c r="BB81" s="5" t="s">
        <v>1603</v>
      </c>
      <c r="BC81" s="5" t="s">
        <v>1602</v>
      </c>
      <c r="BD81" s="5" t="s">
        <v>1596</v>
      </c>
      <c r="BE81" s="5"/>
      <c r="BF81" s="5"/>
      <c r="BG81" s="5"/>
      <c r="BH81" s="5"/>
      <c r="BI81" s="48">
        <v>77</v>
      </c>
      <c r="BJ81" s="55" t="s">
        <v>2574</v>
      </c>
      <c r="BK81" s="20" t="s">
        <v>2165</v>
      </c>
      <c r="BL81" s="20" t="s">
        <v>2166</v>
      </c>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row>
    <row r="82" spans="5:97">
      <c r="E82" s="1" t="s">
        <v>2478</v>
      </c>
      <c r="H82" s="1">
        <v>93</v>
      </c>
      <c r="P82" s="5" t="s">
        <v>2782</v>
      </c>
      <c r="Q82" s="4" t="s">
        <v>1449</v>
      </c>
      <c r="U82" s="5"/>
      <c r="V82" s="5"/>
      <c r="W82" s="5"/>
      <c r="X82" s="5"/>
      <c r="Y82" s="5"/>
      <c r="Z82" s="5"/>
      <c r="AA82" s="5"/>
      <c r="AB82" s="5"/>
      <c r="AC82" s="5"/>
      <c r="AD82" s="5"/>
      <c r="AE82" s="5"/>
      <c r="AF82" s="5"/>
      <c r="AG82" s="5"/>
      <c r="AH82" s="5"/>
      <c r="AI82" s="5"/>
      <c r="AJ82" s="5"/>
      <c r="AK82" s="5"/>
      <c r="AL82" s="5"/>
      <c r="AM82" s="5"/>
      <c r="AN82" s="5"/>
      <c r="AO82" s="5"/>
      <c r="AQ82" s="5"/>
      <c r="AR82" s="5"/>
      <c r="AS82" s="5"/>
      <c r="AT82" s="5"/>
      <c r="AU82" s="5"/>
      <c r="AV82" s="5"/>
      <c r="AW82" s="5"/>
      <c r="AX82" s="5"/>
      <c r="AY82" s="5"/>
      <c r="AZ82" s="5"/>
      <c r="BB82" s="5" t="s">
        <v>1600</v>
      </c>
      <c r="BC82" s="5" t="s">
        <v>1599</v>
      </c>
      <c r="BD82" s="5" t="s">
        <v>1596</v>
      </c>
      <c r="BE82" s="5"/>
      <c r="BF82" s="5"/>
      <c r="BG82" s="5"/>
      <c r="BH82" s="5"/>
      <c r="BI82" s="48">
        <v>78</v>
      </c>
      <c r="BJ82" s="55" t="s">
        <v>2575</v>
      </c>
      <c r="BK82" s="20" t="s">
        <v>2165</v>
      </c>
      <c r="BL82" s="20" t="s">
        <v>2166</v>
      </c>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row>
    <row r="83" spans="5:97">
      <c r="E83" s="1" t="s">
        <v>2491</v>
      </c>
      <c r="H83" s="1">
        <v>94</v>
      </c>
      <c r="P83" s="5" t="s">
        <v>2780</v>
      </c>
      <c r="Q83" s="4" t="s">
        <v>1499</v>
      </c>
      <c r="U83" s="5"/>
      <c r="V83" s="5"/>
      <c r="W83" s="5"/>
      <c r="X83" s="5"/>
      <c r="Y83" s="5"/>
      <c r="Z83" s="5"/>
      <c r="AA83" s="5"/>
      <c r="AB83" s="5"/>
      <c r="AC83" s="5"/>
      <c r="AD83" s="5"/>
      <c r="AE83" s="5"/>
      <c r="AF83" s="5"/>
      <c r="AG83" s="5"/>
      <c r="AH83" s="5"/>
      <c r="AI83" s="5"/>
      <c r="AJ83" s="5"/>
      <c r="AK83" s="5"/>
      <c r="AL83" s="5"/>
      <c r="AM83" s="5"/>
      <c r="AN83" s="5"/>
      <c r="AO83" s="5"/>
      <c r="AQ83" s="5"/>
      <c r="AR83" s="5"/>
      <c r="AS83" s="5"/>
      <c r="AT83" s="5"/>
      <c r="AU83" s="5"/>
      <c r="AV83" s="5"/>
      <c r="AW83" s="5"/>
      <c r="AX83" s="5"/>
      <c r="AY83" s="5"/>
      <c r="AZ83" s="5"/>
      <c r="BB83" s="5" t="s">
        <v>1612</v>
      </c>
      <c r="BC83" s="5" t="s">
        <v>1611</v>
      </c>
      <c r="BD83" s="5" t="s">
        <v>1606</v>
      </c>
      <c r="BE83" s="5"/>
      <c r="BF83" s="5"/>
      <c r="BG83" s="5"/>
      <c r="BH83" s="5"/>
      <c r="BI83" s="48">
        <v>79</v>
      </c>
      <c r="BJ83" s="55" t="s">
        <v>2234</v>
      </c>
      <c r="BK83" s="20" t="s">
        <v>2165</v>
      </c>
      <c r="BL83" s="20" t="s">
        <v>2166</v>
      </c>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row>
    <row r="84" spans="5:97">
      <c r="E84" s="1" t="s">
        <v>2553</v>
      </c>
      <c r="H84" s="1">
        <v>95</v>
      </c>
      <c r="P84" s="5" t="s">
        <v>2723</v>
      </c>
      <c r="Q84" s="4" t="s">
        <v>1497</v>
      </c>
      <c r="U84" s="5"/>
      <c r="V84" s="5"/>
      <c r="W84" s="5"/>
      <c r="X84" s="5"/>
      <c r="Y84" s="5"/>
      <c r="Z84" s="5"/>
      <c r="AA84" s="5"/>
      <c r="AB84" s="5"/>
      <c r="AC84" s="5"/>
      <c r="AD84" s="5"/>
      <c r="AE84" s="5"/>
      <c r="AF84" s="5"/>
      <c r="AG84" s="5"/>
      <c r="AH84" s="5"/>
      <c r="AI84" s="5"/>
      <c r="AJ84" s="5"/>
      <c r="AK84" s="5"/>
      <c r="AL84" s="5"/>
      <c r="AM84" s="5"/>
      <c r="AN84" s="5"/>
      <c r="AO84" s="5"/>
      <c r="AQ84" s="5"/>
      <c r="AR84" s="5"/>
      <c r="AS84" s="5"/>
      <c r="AT84" s="5"/>
      <c r="AU84" s="5"/>
      <c r="AV84" s="5"/>
      <c r="AW84" s="5"/>
      <c r="AX84" s="5"/>
      <c r="AY84" s="5"/>
      <c r="AZ84" s="5"/>
      <c r="BB84" s="5" t="s">
        <v>1610</v>
      </c>
      <c r="BC84" s="5" t="s">
        <v>1609</v>
      </c>
      <c r="BD84" s="5" t="s">
        <v>1606</v>
      </c>
      <c r="BE84" s="5"/>
      <c r="BF84" s="5"/>
      <c r="BG84" s="5"/>
      <c r="BH84" s="5"/>
      <c r="BI84" s="48">
        <v>80</v>
      </c>
      <c r="BJ84" s="55" t="s">
        <v>2514</v>
      </c>
      <c r="BK84" s="20" t="s">
        <v>2169</v>
      </c>
      <c r="BL84" s="20" t="s">
        <v>2177</v>
      </c>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row>
    <row r="85" spans="5:97">
      <c r="E85" s="1" t="s">
        <v>2554</v>
      </c>
      <c r="H85" s="1">
        <v>96</v>
      </c>
      <c r="P85" s="5" t="s">
        <v>2741</v>
      </c>
      <c r="Q85" s="4" t="s">
        <v>1496</v>
      </c>
      <c r="U85" s="5"/>
      <c r="V85" s="5"/>
      <c r="W85" s="5"/>
      <c r="X85" s="5"/>
      <c r="Y85" s="5"/>
      <c r="Z85" s="5"/>
      <c r="AA85" s="5"/>
      <c r="AB85" s="5"/>
      <c r="AC85" s="5"/>
      <c r="AE85" s="5"/>
      <c r="AF85" s="5"/>
      <c r="AG85" s="5"/>
      <c r="AH85" s="5"/>
      <c r="AI85" s="5"/>
      <c r="AJ85" s="5"/>
      <c r="AK85" s="5"/>
      <c r="AL85" s="5"/>
      <c r="AM85" s="5"/>
      <c r="AN85" s="5"/>
      <c r="AO85" s="5"/>
      <c r="AQ85" s="5"/>
      <c r="AR85" s="5"/>
      <c r="AS85" s="5"/>
      <c r="AT85" s="5"/>
      <c r="AU85" s="5"/>
      <c r="AV85" s="5"/>
      <c r="AW85" s="5"/>
      <c r="AX85" s="5"/>
      <c r="AY85" s="5"/>
      <c r="AZ85" s="5"/>
      <c r="BB85" s="5" t="s">
        <v>1614</v>
      </c>
      <c r="BC85" s="5" t="s">
        <v>1613</v>
      </c>
      <c r="BD85" s="5" t="s">
        <v>1606</v>
      </c>
      <c r="BE85" s="5"/>
      <c r="BF85" s="5"/>
      <c r="BG85" s="5"/>
      <c r="BH85" s="5"/>
      <c r="BI85" s="48">
        <v>81</v>
      </c>
      <c r="BJ85" s="55" t="s">
        <v>2278</v>
      </c>
      <c r="BK85" s="20" t="s">
        <v>2169</v>
      </c>
      <c r="BL85" s="20" t="s">
        <v>2177</v>
      </c>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row>
    <row r="86" spans="5:97">
      <c r="E86" s="1" t="s">
        <v>2555</v>
      </c>
      <c r="H86" s="1">
        <v>97</v>
      </c>
      <c r="P86" s="5" t="s">
        <v>2726</v>
      </c>
      <c r="Q86" s="4" t="s">
        <v>1500</v>
      </c>
      <c r="U86" s="5"/>
      <c r="V86" s="5"/>
      <c r="W86" s="5"/>
      <c r="X86" s="5"/>
      <c r="Y86" s="5"/>
      <c r="Z86" s="5"/>
      <c r="AA86" s="5"/>
      <c r="AB86" s="5"/>
      <c r="AC86" s="5"/>
      <c r="AE86" s="5"/>
      <c r="AF86" s="5"/>
      <c r="AG86" s="5"/>
      <c r="AH86" s="5"/>
      <c r="AI86" s="5"/>
      <c r="AJ86" s="5"/>
      <c r="AK86" s="5"/>
      <c r="AL86" s="5"/>
      <c r="AM86" s="5"/>
      <c r="AN86" s="5"/>
      <c r="AO86" s="5"/>
      <c r="AQ86" s="5"/>
      <c r="AR86" s="5"/>
      <c r="AS86" s="5"/>
      <c r="AT86" s="5"/>
      <c r="AU86" s="5"/>
      <c r="AV86" s="5"/>
      <c r="AW86" s="5"/>
      <c r="AX86" s="5"/>
      <c r="AY86" s="5"/>
      <c r="AZ86" s="5"/>
      <c r="BB86" s="5" t="s">
        <v>1607</v>
      </c>
      <c r="BC86" s="5" t="s">
        <v>1606</v>
      </c>
      <c r="BD86" s="5" t="s">
        <v>1606</v>
      </c>
      <c r="BE86" s="5"/>
      <c r="BF86" s="5"/>
      <c r="BG86" s="5"/>
      <c r="BH86" s="5"/>
      <c r="BI86" s="48">
        <v>82</v>
      </c>
      <c r="BJ86" s="55" t="s">
        <v>2605</v>
      </c>
      <c r="BK86" s="20" t="s">
        <v>2175</v>
      </c>
      <c r="BL86" s="20" t="s">
        <v>2176</v>
      </c>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row>
    <row r="87" spans="5:97">
      <c r="E87" s="1" t="s">
        <v>2479</v>
      </c>
      <c r="H87" s="1">
        <v>98</v>
      </c>
      <c r="P87" s="5" t="s">
        <v>2722</v>
      </c>
      <c r="Q87" s="4" t="s">
        <v>1498</v>
      </c>
      <c r="AX87" s="5"/>
      <c r="BB87" s="4" t="s">
        <v>1608</v>
      </c>
      <c r="BC87" s="4" t="s">
        <v>1606</v>
      </c>
      <c r="BD87" s="4" t="s">
        <v>1606</v>
      </c>
      <c r="BI87" s="48">
        <v>83</v>
      </c>
      <c r="BJ87" s="55" t="s">
        <v>2618</v>
      </c>
      <c r="BK87" s="20" t="s">
        <v>2169</v>
      </c>
      <c r="BL87" s="20" t="s">
        <v>2173</v>
      </c>
      <c r="BN87" s="5"/>
    </row>
    <row r="88" spans="5:97">
      <c r="E88" s="1" t="s">
        <v>2465</v>
      </c>
      <c r="H88" s="1">
        <v>99</v>
      </c>
      <c r="P88" s="5" t="s">
        <v>2756</v>
      </c>
      <c r="Q88" s="4" t="s">
        <v>1503</v>
      </c>
      <c r="BB88" s="4" t="s">
        <v>1617</v>
      </c>
      <c r="BC88" s="4" t="s">
        <v>1606</v>
      </c>
      <c r="BD88" s="4" t="s">
        <v>1606</v>
      </c>
      <c r="BI88" s="48">
        <v>84</v>
      </c>
      <c r="BJ88" s="55" t="s">
        <v>2273</v>
      </c>
      <c r="BK88" s="20" t="s">
        <v>2169</v>
      </c>
      <c r="BL88" s="20" t="s">
        <v>2173</v>
      </c>
      <c r="BN88" s="5"/>
    </row>
    <row r="89" spans="5:97">
      <c r="E89" s="1" t="s">
        <v>2480</v>
      </c>
      <c r="P89" s="5" t="s">
        <v>2666</v>
      </c>
      <c r="Q89" s="4" t="s">
        <v>1504</v>
      </c>
      <c r="BB89" s="4" t="s">
        <v>1616</v>
      </c>
      <c r="BC89" s="4" t="s">
        <v>1615</v>
      </c>
      <c r="BD89" s="4" t="s">
        <v>1606</v>
      </c>
      <c r="BI89" s="48">
        <v>85</v>
      </c>
      <c r="BJ89" s="55" t="s">
        <v>2272</v>
      </c>
      <c r="BK89" s="20" t="s">
        <v>2169</v>
      </c>
      <c r="BL89" s="20" t="s">
        <v>2173</v>
      </c>
      <c r="BN89" s="5"/>
    </row>
    <row r="90" spans="5:97">
      <c r="E90" s="1" t="s">
        <v>2466</v>
      </c>
      <c r="P90" s="5" t="s">
        <v>2776</v>
      </c>
      <c r="Q90" s="4" t="s">
        <v>1506</v>
      </c>
      <c r="BB90" s="4" t="s">
        <v>1624</v>
      </c>
      <c r="BC90" s="4" t="s">
        <v>1623</v>
      </c>
      <c r="BD90" s="4" t="s">
        <v>1618</v>
      </c>
      <c r="BI90" s="48">
        <v>86</v>
      </c>
      <c r="BJ90" s="55" t="s">
        <v>2515</v>
      </c>
      <c r="BK90" s="20" t="s">
        <v>2163</v>
      </c>
      <c r="BL90" s="20" t="s">
        <v>2163</v>
      </c>
      <c r="BN90" s="5"/>
    </row>
    <row r="91" spans="5:97">
      <c r="E91" s="1" t="s">
        <v>2467</v>
      </c>
      <c r="P91" s="5" t="s">
        <v>2801</v>
      </c>
      <c r="Q91" s="4" t="s">
        <v>1507</v>
      </c>
      <c r="BB91" s="4" t="s">
        <v>1619</v>
      </c>
      <c r="BC91" s="4" t="s">
        <v>1618</v>
      </c>
      <c r="BD91" s="4" t="s">
        <v>1618</v>
      </c>
      <c r="BI91" s="48">
        <v>87</v>
      </c>
      <c r="BJ91" s="55" t="s">
        <v>2253</v>
      </c>
      <c r="BK91" s="20" t="s">
        <v>33</v>
      </c>
      <c r="BL91" s="20" t="s">
        <v>2168</v>
      </c>
      <c r="BN91" s="5"/>
    </row>
    <row r="92" spans="5:97">
      <c r="E92" s="1" t="s">
        <v>2556</v>
      </c>
      <c r="P92" s="5" t="s">
        <v>2808</v>
      </c>
      <c r="Q92" s="4" t="s">
        <v>1505</v>
      </c>
      <c r="BB92" s="4" t="s">
        <v>1620</v>
      </c>
      <c r="BC92" s="4" t="s">
        <v>1618</v>
      </c>
      <c r="BD92" s="4" t="s">
        <v>1618</v>
      </c>
      <c r="BI92" s="48">
        <v>88</v>
      </c>
      <c r="BJ92" s="55" t="s">
        <v>2350</v>
      </c>
      <c r="BK92" s="20" t="s">
        <v>2163</v>
      </c>
      <c r="BL92" s="20" t="s">
        <v>2163</v>
      </c>
      <c r="BN92" s="5"/>
    </row>
    <row r="93" spans="5:97">
      <c r="E93" s="1" t="s">
        <v>2481</v>
      </c>
      <c r="P93" s="5" t="s">
        <v>2823</v>
      </c>
      <c r="Q93" s="4" t="s">
        <v>1509</v>
      </c>
      <c r="BB93" s="4" t="s">
        <v>1622</v>
      </c>
      <c r="BC93" s="4" t="s">
        <v>1621</v>
      </c>
      <c r="BD93" s="4" t="s">
        <v>1618</v>
      </c>
      <c r="BI93" s="48">
        <v>89</v>
      </c>
      <c r="BJ93" s="55" t="s">
        <v>2222</v>
      </c>
      <c r="BK93" s="20" t="s">
        <v>2159</v>
      </c>
      <c r="BL93" s="20" t="s">
        <v>2162</v>
      </c>
      <c r="BN93" s="5"/>
    </row>
    <row r="94" spans="5:97">
      <c r="E94" s="1" t="s">
        <v>2468</v>
      </c>
      <c r="P94" s="5" t="s">
        <v>2682</v>
      </c>
      <c r="Q94" s="4" t="s">
        <v>1502</v>
      </c>
      <c r="BB94" s="4" t="s">
        <v>1628</v>
      </c>
      <c r="BC94" s="4" t="s">
        <v>1627</v>
      </c>
      <c r="BD94" s="4" t="s">
        <v>1618</v>
      </c>
      <c r="BI94" s="48">
        <v>90</v>
      </c>
      <c r="BJ94" s="55" t="s">
        <v>2223</v>
      </c>
      <c r="BK94" s="20" t="s">
        <v>2159</v>
      </c>
      <c r="BL94" s="20" t="s">
        <v>2160</v>
      </c>
      <c r="BN94" s="5"/>
    </row>
    <row r="95" spans="5:97">
      <c r="E95" s="1" t="s">
        <v>2469</v>
      </c>
      <c r="P95" s="5" t="s">
        <v>2734</v>
      </c>
      <c r="Q95" s="4" t="s">
        <v>1510</v>
      </c>
      <c r="BB95" s="4" t="s">
        <v>1626</v>
      </c>
      <c r="BC95" s="4" t="s">
        <v>1625</v>
      </c>
      <c r="BD95" s="4" t="s">
        <v>1618</v>
      </c>
      <c r="BI95" s="48">
        <v>91</v>
      </c>
      <c r="BJ95" s="55" t="s">
        <v>2217</v>
      </c>
      <c r="BK95" s="20" t="s">
        <v>2159</v>
      </c>
      <c r="BL95" s="20" t="s">
        <v>2161</v>
      </c>
      <c r="BN95" s="5"/>
    </row>
    <row r="96" spans="5:97">
      <c r="E96" s="1" t="s">
        <v>2131</v>
      </c>
      <c r="P96" s="5" t="s">
        <v>2675</v>
      </c>
      <c r="Q96" s="4" t="s">
        <v>1508</v>
      </c>
      <c r="BB96" s="4" t="s">
        <v>1644</v>
      </c>
      <c r="BC96" s="4" t="s">
        <v>1643</v>
      </c>
      <c r="BD96" s="4" t="s">
        <v>1639</v>
      </c>
      <c r="BI96" s="48">
        <v>92</v>
      </c>
      <c r="BJ96" s="55" t="s">
        <v>2216</v>
      </c>
      <c r="BK96" s="20" t="s">
        <v>2159</v>
      </c>
      <c r="BL96" s="20" t="s">
        <v>2160</v>
      </c>
      <c r="BN96" s="5"/>
    </row>
    <row r="97" spans="5:66">
      <c r="E97" s="1" t="s">
        <v>2132</v>
      </c>
      <c r="P97" s="5" t="s">
        <v>2696</v>
      </c>
      <c r="Q97" s="4" t="s">
        <v>1511</v>
      </c>
      <c r="BB97" s="4" t="s">
        <v>1640</v>
      </c>
      <c r="BC97" s="4" t="s">
        <v>1639</v>
      </c>
      <c r="BD97" s="4" t="s">
        <v>1639</v>
      </c>
      <c r="BI97" s="48">
        <v>93</v>
      </c>
      <c r="BJ97" s="55" t="s">
        <v>2595</v>
      </c>
      <c r="BK97" s="20" t="s">
        <v>2163</v>
      </c>
      <c r="BL97" s="20" t="s">
        <v>2163</v>
      </c>
      <c r="BN97" s="5"/>
    </row>
    <row r="98" spans="5:66">
      <c r="P98" s="5" t="s">
        <v>2752</v>
      </c>
      <c r="Q98" s="4" t="s">
        <v>1512</v>
      </c>
      <c r="BB98" s="4" t="s">
        <v>1647</v>
      </c>
      <c r="BC98" s="4" t="s">
        <v>1642</v>
      </c>
      <c r="BD98" s="4" t="s">
        <v>1639</v>
      </c>
      <c r="BI98" s="48">
        <v>94</v>
      </c>
      <c r="BJ98" s="55" t="s">
        <v>2224</v>
      </c>
      <c r="BK98" s="20" t="s">
        <v>2163</v>
      </c>
      <c r="BL98" s="20" t="s">
        <v>2163</v>
      </c>
      <c r="BN98" s="5"/>
    </row>
    <row r="99" spans="5:66">
      <c r="P99" s="5" t="s">
        <v>2692</v>
      </c>
      <c r="Q99" s="4" t="s">
        <v>1426</v>
      </c>
      <c r="BB99" s="4" t="s">
        <v>1648</v>
      </c>
      <c r="BC99" s="4" t="s">
        <v>1642</v>
      </c>
      <c r="BD99" s="4" t="s">
        <v>1639</v>
      </c>
      <c r="BI99" s="48">
        <v>95</v>
      </c>
      <c r="BJ99" s="55" t="s">
        <v>2220</v>
      </c>
      <c r="BK99" s="20" t="s">
        <v>2159</v>
      </c>
      <c r="BL99" s="20" t="s">
        <v>2162</v>
      </c>
      <c r="BN99" s="5"/>
    </row>
    <row r="100" spans="5:66">
      <c r="P100" s="5" t="s">
        <v>2665</v>
      </c>
      <c r="Q100" s="4" t="s">
        <v>1422</v>
      </c>
      <c r="BB100" s="4" t="s">
        <v>1638</v>
      </c>
      <c r="BC100" s="4" t="s">
        <v>1637</v>
      </c>
      <c r="BD100" s="4" t="s">
        <v>1639</v>
      </c>
      <c r="BI100" s="48">
        <v>96</v>
      </c>
      <c r="BJ100" s="55" t="s">
        <v>2221</v>
      </c>
      <c r="BK100" s="20" t="s">
        <v>2159</v>
      </c>
      <c r="BL100" s="20" t="s">
        <v>2160</v>
      </c>
      <c r="BN100" s="5"/>
    </row>
    <row r="101" spans="5:66">
      <c r="P101" s="5" t="s">
        <v>2826</v>
      </c>
      <c r="BB101" s="4" t="s">
        <v>1641</v>
      </c>
      <c r="BC101" s="4" t="s">
        <v>1637</v>
      </c>
      <c r="BD101" s="4" t="s">
        <v>1639</v>
      </c>
      <c r="BI101" s="48">
        <v>97</v>
      </c>
      <c r="BJ101" s="55" t="s">
        <v>2219</v>
      </c>
      <c r="BK101" s="20" t="s">
        <v>2163</v>
      </c>
      <c r="BL101" s="20" t="s">
        <v>2163</v>
      </c>
      <c r="BN101" s="5"/>
    </row>
    <row r="102" spans="5:66">
      <c r="P102" s="5" t="s">
        <v>2698</v>
      </c>
      <c r="BB102" s="4" t="s">
        <v>1646</v>
      </c>
      <c r="BC102" s="4" t="s">
        <v>1645</v>
      </c>
      <c r="BD102" s="4" t="s">
        <v>1639</v>
      </c>
      <c r="BI102" s="48">
        <v>98</v>
      </c>
      <c r="BJ102" s="55" t="s">
        <v>2215</v>
      </c>
      <c r="BK102" s="20" t="s">
        <v>2159</v>
      </c>
      <c r="BL102" s="20" t="s">
        <v>2160</v>
      </c>
      <c r="BN102" s="5"/>
    </row>
    <row r="103" spans="5:66">
      <c r="P103" s="5" t="s">
        <v>2770</v>
      </c>
      <c r="BB103" s="4" t="s">
        <v>1657</v>
      </c>
      <c r="BC103" s="4" t="s">
        <v>1656</v>
      </c>
      <c r="BD103" s="4" t="s">
        <v>1649</v>
      </c>
      <c r="BI103" s="48">
        <v>99</v>
      </c>
      <c r="BJ103" s="55" t="s">
        <v>2352</v>
      </c>
      <c r="BK103" s="20" t="s">
        <v>2163</v>
      </c>
      <c r="BL103" s="20" t="s">
        <v>2163</v>
      </c>
      <c r="BN103" s="5"/>
    </row>
    <row r="104" spans="5:66">
      <c r="P104" s="5" t="s">
        <v>2809</v>
      </c>
      <c r="BB104" s="4" t="s">
        <v>1659</v>
      </c>
      <c r="BC104" s="4" t="s">
        <v>1658</v>
      </c>
      <c r="BD104" s="4" t="s">
        <v>1649</v>
      </c>
      <c r="BI104" s="48">
        <v>100</v>
      </c>
      <c r="BJ104" s="55" t="s">
        <v>2576</v>
      </c>
      <c r="BK104" s="20" t="s">
        <v>2163</v>
      </c>
      <c r="BL104" s="20" t="s">
        <v>2163</v>
      </c>
      <c r="BN104" s="5"/>
    </row>
    <row r="105" spans="5:66">
      <c r="P105" s="5" t="s">
        <v>2819</v>
      </c>
      <c r="BB105" s="4" t="s">
        <v>1661</v>
      </c>
      <c r="BC105" s="4" t="s">
        <v>1660</v>
      </c>
      <c r="BD105" s="4" t="s">
        <v>1649</v>
      </c>
      <c r="BI105" s="48">
        <v>101</v>
      </c>
      <c r="BJ105" s="55" t="s">
        <v>2187</v>
      </c>
      <c r="BK105" s="20" t="s">
        <v>2183</v>
      </c>
      <c r="BL105" s="20" t="s">
        <v>2187</v>
      </c>
      <c r="BN105" s="5"/>
    </row>
    <row r="106" spans="5:66">
      <c r="P106" s="5" t="s">
        <v>2701</v>
      </c>
      <c r="BB106" s="4" t="s">
        <v>1650</v>
      </c>
      <c r="BC106" s="4" t="s">
        <v>1649</v>
      </c>
      <c r="BD106" s="4" t="s">
        <v>1649</v>
      </c>
      <c r="BI106" s="48">
        <v>102</v>
      </c>
      <c r="BJ106" s="55" t="s">
        <v>2344</v>
      </c>
      <c r="BK106" s="20" t="s">
        <v>2183</v>
      </c>
      <c r="BL106" s="20" t="s">
        <v>2187</v>
      </c>
      <c r="BN106" s="5"/>
    </row>
    <row r="107" spans="5:66">
      <c r="P107" s="5" t="s">
        <v>2790</v>
      </c>
      <c r="BB107" s="4" t="s">
        <v>1653</v>
      </c>
      <c r="BC107" s="4" t="s">
        <v>1649</v>
      </c>
      <c r="BD107" s="4" t="s">
        <v>1649</v>
      </c>
      <c r="BI107" s="48">
        <v>103</v>
      </c>
      <c r="BJ107" s="55" t="s">
        <v>2338</v>
      </c>
      <c r="BK107" s="20" t="s">
        <v>2163</v>
      </c>
      <c r="BL107" s="20" t="s">
        <v>2163</v>
      </c>
      <c r="BN107" s="5"/>
    </row>
    <row r="108" spans="5:66">
      <c r="P108" s="5" t="s">
        <v>2699</v>
      </c>
      <c r="BB108" s="4" t="s">
        <v>1751</v>
      </c>
      <c r="BC108" s="4" t="s">
        <v>1649</v>
      </c>
      <c r="BD108" s="4" t="s">
        <v>1649</v>
      </c>
      <c r="BI108" s="48">
        <v>104</v>
      </c>
      <c r="BJ108" s="55" t="s">
        <v>2360</v>
      </c>
      <c r="BK108" s="20" t="s">
        <v>2163</v>
      </c>
      <c r="BL108" s="20" t="s">
        <v>2163</v>
      </c>
      <c r="BN108" s="5"/>
    </row>
    <row r="109" spans="5:66">
      <c r="P109" s="5" t="s">
        <v>2749</v>
      </c>
      <c r="BB109" s="4" t="s">
        <v>1752</v>
      </c>
      <c r="BC109" s="4" t="s">
        <v>1649</v>
      </c>
      <c r="BD109" s="4" t="s">
        <v>1649</v>
      </c>
      <c r="BI109" s="48">
        <v>105</v>
      </c>
      <c r="BJ109" s="55" t="s">
        <v>2296</v>
      </c>
      <c r="BK109" s="20" t="s">
        <v>2163</v>
      </c>
      <c r="BL109" s="20" t="s">
        <v>2163</v>
      </c>
      <c r="BN109" s="5"/>
    </row>
    <row r="110" spans="5:66">
      <c r="P110" s="5" t="s">
        <v>2702</v>
      </c>
      <c r="BB110" s="4" t="s">
        <v>2001</v>
      </c>
      <c r="BC110" s="4" t="s">
        <v>1649</v>
      </c>
      <c r="BD110" s="4" t="s">
        <v>1649</v>
      </c>
      <c r="BI110" s="48">
        <v>106</v>
      </c>
      <c r="BJ110" s="55" t="s">
        <v>2596</v>
      </c>
      <c r="BK110" s="20" t="s">
        <v>2163</v>
      </c>
      <c r="BL110" s="20" t="s">
        <v>2163</v>
      </c>
      <c r="BN110" s="5"/>
    </row>
    <row r="111" spans="5:66">
      <c r="P111" s="5" t="s">
        <v>2806</v>
      </c>
      <c r="BB111" s="4" t="s">
        <v>1370</v>
      </c>
      <c r="BC111" s="4" t="s">
        <v>1649</v>
      </c>
      <c r="BD111" s="4" t="s">
        <v>1649</v>
      </c>
      <c r="BI111" s="48">
        <v>107</v>
      </c>
      <c r="BJ111" s="55" t="s">
        <v>2173</v>
      </c>
      <c r="BK111" s="20" t="s">
        <v>2169</v>
      </c>
      <c r="BL111" s="20" t="s">
        <v>2173</v>
      </c>
      <c r="BN111" s="5"/>
    </row>
    <row r="112" spans="5:66">
      <c r="P112" s="5" t="s">
        <v>2793</v>
      </c>
      <c r="BB112" s="4" t="s">
        <v>1652</v>
      </c>
      <c r="BC112" s="4" t="s">
        <v>1651</v>
      </c>
      <c r="BD112" s="4" t="s">
        <v>1649</v>
      </c>
      <c r="BI112" s="48">
        <v>108</v>
      </c>
      <c r="BJ112" s="55" t="s">
        <v>2284</v>
      </c>
      <c r="BK112" s="20" t="s">
        <v>2163</v>
      </c>
      <c r="BL112" s="20" t="s">
        <v>2163</v>
      </c>
      <c r="BN112" s="5"/>
    </row>
    <row r="113" spans="16:66">
      <c r="P113" s="5" t="s">
        <v>2795</v>
      </c>
      <c r="BB113" s="4" t="s">
        <v>1663</v>
      </c>
      <c r="BC113" s="4" t="s">
        <v>1662</v>
      </c>
      <c r="BD113" s="4" t="s">
        <v>1649</v>
      </c>
      <c r="BI113" s="48">
        <v>109</v>
      </c>
      <c r="BJ113" s="55" t="s">
        <v>2285</v>
      </c>
      <c r="BK113" s="20" t="s">
        <v>2163</v>
      </c>
      <c r="BL113" s="20" t="s">
        <v>2163</v>
      </c>
      <c r="BN113" s="5"/>
    </row>
    <row r="114" spans="16:66">
      <c r="P114" s="5" t="s">
        <v>2733</v>
      </c>
      <c r="BB114" s="4" t="s">
        <v>1655</v>
      </c>
      <c r="BC114" s="4" t="s">
        <v>1654</v>
      </c>
      <c r="BD114" s="4" t="s">
        <v>1649</v>
      </c>
      <c r="BI114" s="48">
        <v>110</v>
      </c>
      <c r="BJ114" s="55" t="s">
        <v>2232</v>
      </c>
      <c r="BK114" s="20" t="s">
        <v>2165</v>
      </c>
      <c r="BL114" s="20" t="s">
        <v>2166</v>
      </c>
      <c r="BN114" s="5"/>
    </row>
    <row r="115" spans="16:66">
      <c r="P115" s="5" t="s">
        <v>2717</v>
      </c>
      <c r="BB115" s="4" t="s">
        <v>1672</v>
      </c>
      <c r="BC115" s="4" t="s">
        <v>1671</v>
      </c>
      <c r="BD115" s="4" t="s">
        <v>1669</v>
      </c>
      <c r="BI115" s="48">
        <v>111</v>
      </c>
      <c r="BJ115" s="55" t="s">
        <v>2233</v>
      </c>
      <c r="BK115" s="20" t="s">
        <v>2165</v>
      </c>
      <c r="BL115" s="20" t="s">
        <v>2166</v>
      </c>
      <c r="BN115" s="5"/>
    </row>
    <row r="116" spans="16:66">
      <c r="P116" s="5" t="s">
        <v>2758</v>
      </c>
      <c r="BB116" s="4" t="s">
        <v>1675</v>
      </c>
      <c r="BC116" s="4" t="s">
        <v>1674</v>
      </c>
      <c r="BD116" s="4" t="s">
        <v>1669</v>
      </c>
      <c r="BI116" s="48">
        <v>112</v>
      </c>
      <c r="BJ116" s="55" t="s">
        <v>2616</v>
      </c>
      <c r="BK116" s="20" t="s">
        <v>2165</v>
      </c>
      <c r="BL116" s="20" t="s">
        <v>2166</v>
      </c>
      <c r="BN116" s="5"/>
    </row>
    <row r="117" spans="16:66">
      <c r="P117" s="5" t="s">
        <v>2728</v>
      </c>
      <c r="BB117" s="4" t="s">
        <v>1677</v>
      </c>
      <c r="BC117" s="4" t="s">
        <v>1676</v>
      </c>
      <c r="BD117" s="4" t="s">
        <v>1669</v>
      </c>
      <c r="BI117" s="48">
        <v>113</v>
      </c>
      <c r="BJ117" s="55" t="s">
        <v>2188</v>
      </c>
      <c r="BK117" s="20" t="s">
        <v>2163</v>
      </c>
      <c r="BL117" s="20" t="s">
        <v>2163</v>
      </c>
      <c r="BN117" s="5"/>
    </row>
    <row r="118" spans="16:66">
      <c r="P118" s="5" t="s">
        <v>2730</v>
      </c>
      <c r="BB118" s="4" t="s">
        <v>1668</v>
      </c>
      <c r="BC118" s="4" t="s">
        <v>1667</v>
      </c>
      <c r="BD118" s="4" t="s">
        <v>1669</v>
      </c>
      <c r="BI118" s="48">
        <v>114</v>
      </c>
      <c r="BJ118" s="55" t="s">
        <v>2336</v>
      </c>
      <c r="BK118" s="20" t="s">
        <v>2183</v>
      </c>
      <c r="BL118" s="20" t="s">
        <v>2185</v>
      </c>
      <c r="BN118" s="5"/>
    </row>
    <row r="119" spans="16:66">
      <c r="P119" s="5" t="s">
        <v>2825</v>
      </c>
      <c r="BB119" s="4" t="s">
        <v>1670</v>
      </c>
      <c r="BC119" s="4" t="s">
        <v>1669</v>
      </c>
      <c r="BD119" s="4" t="s">
        <v>1669</v>
      </c>
      <c r="BI119" s="48">
        <v>115</v>
      </c>
      <c r="BJ119" s="55" t="s">
        <v>2606</v>
      </c>
      <c r="BK119" s="20" t="s">
        <v>2183</v>
      </c>
      <c r="BL119" s="20" t="s">
        <v>2185</v>
      </c>
      <c r="BN119" s="5"/>
    </row>
    <row r="120" spans="16:66">
      <c r="P120" s="5" t="s">
        <v>2827</v>
      </c>
      <c r="BB120" s="4" t="s">
        <v>1673</v>
      </c>
      <c r="BC120" s="4" t="s">
        <v>1669</v>
      </c>
      <c r="BD120" s="4" t="s">
        <v>1669</v>
      </c>
      <c r="BI120" s="48">
        <v>116</v>
      </c>
      <c r="BJ120" s="55" t="s">
        <v>2337</v>
      </c>
      <c r="BK120" s="20" t="s">
        <v>2183</v>
      </c>
      <c r="BL120" s="20" t="s">
        <v>2185</v>
      </c>
      <c r="BN120" s="5"/>
    </row>
    <row r="121" spans="16:66">
      <c r="P121" s="5" t="s">
        <v>2695</v>
      </c>
      <c r="BB121" s="4" t="s">
        <v>1690</v>
      </c>
      <c r="BC121" s="4" t="s">
        <v>1689</v>
      </c>
      <c r="BD121" s="4" t="s">
        <v>1678</v>
      </c>
      <c r="BI121" s="48">
        <v>117</v>
      </c>
      <c r="BJ121" s="55" t="s">
        <v>2238</v>
      </c>
      <c r="BK121" s="20" t="s">
        <v>2180</v>
      </c>
      <c r="BL121" s="20" t="s">
        <v>2174</v>
      </c>
      <c r="BN121" s="5"/>
    </row>
    <row r="122" spans="16:66">
      <c r="P122" s="5" t="s">
        <v>2789</v>
      </c>
      <c r="BB122" s="4" t="s">
        <v>1692</v>
      </c>
      <c r="BC122" s="4" t="s">
        <v>1691</v>
      </c>
      <c r="BD122" s="4" t="s">
        <v>1678</v>
      </c>
      <c r="BI122" s="48">
        <v>118</v>
      </c>
      <c r="BJ122" s="55" t="s">
        <v>2648</v>
      </c>
      <c r="BK122" s="20" t="s">
        <v>2180</v>
      </c>
      <c r="BL122" s="20" t="s">
        <v>2174</v>
      </c>
      <c r="BN122" s="5"/>
    </row>
    <row r="123" spans="16:66">
      <c r="P123" s="5" t="s">
        <v>2800</v>
      </c>
      <c r="BB123" s="4" t="s">
        <v>1694</v>
      </c>
      <c r="BC123" s="4" t="s">
        <v>1693</v>
      </c>
      <c r="BD123" s="4" t="s">
        <v>1678</v>
      </c>
      <c r="BI123" s="48">
        <v>119</v>
      </c>
      <c r="BJ123" s="55" t="s">
        <v>2172</v>
      </c>
      <c r="BK123" s="20" t="s">
        <v>2169</v>
      </c>
      <c r="BL123" s="20" t="s">
        <v>2172</v>
      </c>
      <c r="BN123" s="5"/>
    </row>
    <row r="124" spans="16:66">
      <c r="P124" s="5" t="s">
        <v>2771</v>
      </c>
      <c r="BB124" s="4" t="s">
        <v>1684</v>
      </c>
      <c r="BC124" s="4" t="s">
        <v>1683</v>
      </c>
      <c r="BD124" s="4" t="s">
        <v>1678</v>
      </c>
      <c r="BI124" s="48">
        <v>120</v>
      </c>
      <c r="BJ124" s="55" t="s">
        <v>2269</v>
      </c>
      <c r="BK124" s="20" t="s">
        <v>2169</v>
      </c>
      <c r="BL124" s="20" t="s">
        <v>2172</v>
      </c>
      <c r="BN124" s="5"/>
    </row>
    <row r="125" spans="16:66">
      <c r="P125" s="5" t="s">
        <v>2778</v>
      </c>
      <c r="BB125" s="4" t="s">
        <v>1696</v>
      </c>
      <c r="BC125" s="4" t="s">
        <v>1695</v>
      </c>
      <c r="BD125" s="4" t="s">
        <v>1678</v>
      </c>
      <c r="BI125" s="48">
        <v>121</v>
      </c>
      <c r="BJ125" s="55" t="s">
        <v>2270</v>
      </c>
      <c r="BK125" s="20" t="s">
        <v>2169</v>
      </c>
      <c r="BL125" s="20" t="s">
        <v>2172</v>
      </c>
      <c r="BN125" s="5"/>
    </row>
    <row r="126" spans="16:66">
      <c r="P126" s="5" t="s">
        <v>2735</v>
      </c>
      <c r="BB126" s="4" t="s">
        <v>1679</v>
      </c>
      <c r="BC126" s="4" t="s">
        <v>1678</v>
      </c>
      <c r="BD126" s="4" t="s">
        <v>1678</v>
      </c>
      <c r="BI126" s="48">
        <v>122</v>
      </c>
      <c r="BJ126" s="55" t="s">
        <v>2268</v>
      </c>
      <c r="BK126" s="20" t="s">
        <v>2169</v>
      </c>
      <c r="BL126" s="20" t="s">
        <v>2172</v>
      </c>
      <c r="BN126" s="5"/>
    </row>
    <row r="127" spans="16:66">
      <c r="P127" s="5" t="s">
        <v>2670</v>
      </c>
      <c r="BB127" s="4" t="s">
        <v>1680</v>
      </c>
      <c r="BC127" s="4" t="s">
        <v>1678</v>
      </c>
      <c r="BD127" s="4" t="s">
        <v>1678</v>
      </c>
      <c r="BI127" s="48">
        <v>123</v>
      </c>
      <c r="BJ127" s="55" t="s">
        <v>2286</v>
      </c>
      <c r="BK127" s="20" t="s">
        <v>2175</v>
      </c>
      <c r="BL127" s="20" t="s">
        <v>2176</v>
      </c>
      <c r="BN127" s="5"/>
    </row>
    <row r="128" spans="16:66">
      <c r="P128" s="5" t="s">
        <v>2750</v>
      </c>
      <c r="BB128" s="4" t="s">
        <v>1688</v>
      </c>
      <c r="BC128" s="4" t="s">
        <v>1687</v>
      </c>
      <c r="BD128" s="4" t="s">
        <v>1678</v>
      </c>
      <c r="BI128" s="48">
        <v>124</v>
      </c>
      <c r="BJ128" s="55" t="s">
        <v>2649</v>
      </c>
      <c r="BK128" s="20" t="s">
        <v>2165</v>
      </c>
      <c r="BL128" s="20" t="s">
        <v>2166</v>
      </c>
      <c r="BN128" s="5"/>
    </row>
    <row r="129" spans="16:66">
      <c r="P129" s="5" t="s">
        <v>2742</v>
      </c>
      <c r="BB129" s="4" t="s">
        <v>1686</v>
      </c>
      <c r="BC129" s="4" t="s">
        <v>1685</v>
      </c>
      <c r="BD129" s="4" t="s">
        <v>1678</v>
      </c>
      <c r="BI129" s="48">
        <v>125</v>
      </c>
      <c r="BJ129" s="55" t="s">
        <v>2186</v>
      </c>
      <c r="BK129" s="20" t="s">
        <v>2183</v>
      </c>
      <c r="BL129" s="20" t="s">
        <v>2186</v>
      </c>
      <c r="BN129" s="5"/>
    </row>
    <row r="130" spans="16:66">
      <c r="P130" s="5" t="s">
        <v>2729</v>
      </c>
      <c r="BB130" s="4" t="s">
        <v>1682</v>
      </c>
      <c r="BC130" s="4" t="s">
        <v>1681</v>
      </c>
      <c r="BD130" s="4" t="s">
        <v>1678</v>
      </c>
      <c r="BI130" s="48">
        <v>126</v>
      </c>
      <c r="BJ130" s="55" t="s">
        <v>2357</v>
      </c>
      <c r="BK130" s="20" t="s">
        <v>2163</v>
      </c>
      <c r="BL130" s="20" t="s">
        <v>2163</v>
      </c>
      <c r="BN130" s="5"/>
    </row>
    <row r="131" spans="16:66">
      <c r="P131" s="5" t="s">
        <v>2807</v>
      </c>
      <c r="BB131" s="4" t="s">
        <v>1972</v>
      </c>
      <c r="BC131" s="4" t="s">
        <v>1971</v>
      </c>
      <c r="BD131" s="4" t="s">
        <v>1971</v>
      </c>
      <c r="BI131" s="48">
        <v>127</v>
      </c>
      <c r="BJ131" s="55" t="s">
        <v>2353</v>
      </c>
      <c r="BK131" s="20" t="s">
        <v>2163</v>
      </c>
      <c r="BL131" s="20" t="s">
        <v>2163</v>
      </c>
      <c r="BN131" s="5"/>
    </row>
    <row r="132" spans="16:66">
      <c r="P132" s="5" t="s">
        <v>2736</v>
      </c>
      <c r="BB132" s="4" t="s">
        <v>1973</v>
      </c>
      <c r="BC132" s="4" t="s">
        <v>1971</v>
      </c>
      <c r="BD132" s="4" t="s">
        <v>1971</v>
      </c>
      <c r="BI132" s="48">
        <v>128</v>
      </c>
      <c r="BJ132" s="55" t="s">
        <v>2354</v>
      </c>
      <c r="BK132" s="20" t="s">
        <v>2163</v>
      </c>
      <c r="BL132" s="20" t="s">
        <v>2163</v>
      </c>
      <c r="BN132" s="5"/>
    </row>
    <row r="133" spans="16:66">
      <c r="P133" s="5" t="s">
        <v>2676</v>
      </c>
      <c r="BB133" s="4" t="s">
        <v>1974</v>
      </c>
      <c r="BC133" s="4" t="s">
        <v>1971</v>
      </c>
      <c r="BD133" s="4" t="s">
        <v>1971</v>
      </c>
      <c r="BI133" s="48">
        <v>129</v>
      </c>
      <c r="BJ133" s="55" t="s">
        <v>2351</v>
      </c>
      <c r="BK133" s="20" t="s">
        <v>2163</v>
      </c>
      <c r="BL133" s="20" t="s">
        <v>2163</v>
      </c>
      <c r="BN133" s="5"/>
    </row>
    <row r="134" spans="16:66">
      <c r="P134" s="5" t="s">
        <v>2753</v>
      </c>
      <c r="BB134" s="4" t="s">
        <v>1978</v>
      </c>
      <c r="BC134" s="4" t="s">
        <v>1977</v>
      </c>
      <c r="BD134" s="4" t="s">
        <v>1971</v>
      </c>
      <c r="BI134" s="48">
        <v>130</v>
      </c>
      <c r="BJ134" s="55" t="s">
        <v>2348</v>
      </c>
      <c r="BK134" s="20" t="s">
        <v>2163</v>
      </c>
      <c r="BL134" s="20" t="s">
        <v>2163</v>
      </c>
      <c r="BN134" s="5"/>
    </row>
    <row r="135" spans="16:66">
      <c r="P135" s="5" t="s">
        <v>2720</v>
      </c>
      <c r="BB135" s="4" t="s">
        <v>1982</v>
      </c>
      <c r="BC135" s="4" t="s">
        <v>1981</v>
      </c>
      <c r="BD135" s="4" t="s">
        <v>1971</v>
      </c>
      <c r="BI135" s="48">
        <v>131</v>
      </c>
      <c r="BJ135" s="55" t="s">
        <v>2577</v>
      </c>
      <c r="BK135" s="20" t="s">
        <v>2163</v>
      </c>
      <c r="BL135" s="20" t="s">
        <v>2163</v>
      </c>
      <c r="BN135" s="5"/>
    </row>
    <row r="136" spans="16:66">
      <c r="P136" s="5" t="s">
        <v>2796</v>
      </c>
      <c r="BB136" s="4" t="s">
        <v>1980</v>
      </c>
      <c r="BC136" s="4" t="s">
        <v>1979</v>
      </c>
      <c r="BD136" s="4" t="s">
        <v>1971</v>
      </c>
      <c r="BI136" s="48">
        <v>132</v>
      </c>
      <c r="BJ136" s="55" t="s">
        <v>2340</v>
      </c>
      <c r="BK136" s="20" t="s">
        <v>2183</v>
      </c>
      <c r="BL136" s="20" t="s">
        <v>2186</v>
      </c>
      <c r="BN136" s="5"/>
    </row>
    <row r="137" spans="16:66">
      <c r="P137" s="5" t="s">
        <v>2812</v>
      </c>
      <c r="BB137" s="4" t="s">
        <v>1976</v>
      </c>
      <c r="BC137" s="4" t="s">
        <v>1975</v>
      </c>
      <c r="BD137" s="4" t="s">
        <v>1971</v>
      </c>
      <c r="BI137" s="48">
        <v>133</v>
      </c>
      <c r="BJ137" s="55" t="s">
        <v>2341</v>
      </c>
      <c r="BK137" s="20" t="s">
        <v>2183</v>
      </c>
      <c r="BL137" s="20" t="s">
        <v>2186</v>
      </c>
      <c r="BN137" s="5"/>
    </row>
    <row r="138" spans="16:66">
      <c r="P138" s="5" t="s">
        <v>2687</v>
      </c>
      <c r="BB138" s="4" t="s">
        <v>1992</v>
      </c>
      <c r="BC138" s="4" t="s">
        <v>1991</v>
      </c>
      <c r="BD138" s="4" t="s">
        <v>1983</v>
      </c>
      <c r="BI138" s="48">
        <v>134</v>
      </c>
      <c r="BJ138" s="55" t="s">
        <v>2342</v>
      </c>
      <c r="BK138" s="20" t="s">
        <v>2183</v>
      </c>
      <c r="BL138" s="20" t="s">
        <v>2184</v>
      </c>
      <c r="BN138" s="5"/>
    </row>
    <row r="139" spans="16:66">
      <c r="P139" s="5" t="s">
        <v>2689</v>
      </c>
      <c r="BB139" s="4" t="s">
        <v>1990</v>
      </c>
      <c r="BC139" s="4" t="s">
        <v>1989</v>
      </c>
      <c r="BD139" s="4" t="s">
        <v>1983</v>
      </c>
      <c r="BI139" s="48">
        <v>135</v>
      </c>
      <c r="BJ139" s="55" t="s">
        <v>2347</v>
      </c>
      <c r="BK139" s="20" t="s">
        <v>2183</v>
      </c>
      <c r="BL139" s="20" t="s">
        <v>2188</v>
      </c>
      <c r="BN139" s="5"/>
    </row>
    <row r="140" spans="16:66">
      <c r="P140" s="5" t="s">
        <v>2743</v>
      </c>
      <c r="BB140" s="4" t="s">
        <v>701</v>
      </c>
      <c r="BC140" s="4" t="s">
        <v>700</v>
      </c>
      <c r="BD140" s="4" t="s">
        <v>1983</v>
      </c>
      <c r="BI140" s="48">
        <v>136</v>
      </c>
      <c r="BJ140" s="55" t="s">
        <v>2633</v>
      </c>
      <c r="BK140" s="20" t="s">
        <v>2159</v>
      </c>
      <c r="BL140" s="20" t="s">
        <v>2160</v>
      </c>
      <c r="BN140" s="5"/>
    </row>
    <row r="141" spans="16:66">
      <c r="P141" s="5" t="s">
        <v>2744</v>
      </c>
      <c r="BB141" s="4" t="s">
        <v>1987</v>
      </c>
      <c r="BC141" s="4" t="s">
        <v>1986</v>
      </c>
      <c r="BD141" s="4" t="s">
        <v>1983</v>
      </c>
      <c r="BI141" s="48">
        <v>137</v>
      </c>
      <c r="BJ141" s="55" t="s">
        <v>2298</v>
      </c>
      <c r="BK141" s="20" t="s">
        <v>2163</v>
      </c>
      <c r="BL141" s="20" t="s">
        <v>2163</v>
      </c>
      <c r="BN141" s="5"/>
    </row>
    <row r="142" spans="16:66">
      <c r="P142" s="5" t="s">
        <v>2798</v>
      </c>
      <c r="BB142" s="4" t="s">
        <v>1984</v>
      </c>
      <c r="BC142" s="4" t="s">
        <v>1983</v>
      </c>
      <c r="BD142" s="4" t="s">
        <v>1983</v>
      </c>
      <c r="BI142" s="48">
        <v>138</v>
      </c>
      <c r="BJ142" s="55" t="s">
        <v>2650</v>
      </c>
      <c r="BK142" s="20" t="s">
        <v>2159</v>
      </c>
      <c r="BL142" s="20" t="s">
        <v>2161</v>
      </c>
      <c r="BN142" s="5"/>
    </row>
    <row r="143" spans="16:66">
      <c r="P143" s="5" t="s">
        <v>2712</v>
      </c>
      <c r="BB143" s="4" t="s">
        <v>1985</v>
      </c>
      <c r="BC143" s="4" t="s">
        <v>1983</v>
      </c>
      <c r="BD143" s="4" t="s">
        <v>1983</v>
      </c>
      <c r="BI143" s="48">
        <v>139</v>
      </c>
      <c r="BJ143" s="55" t="s">
        <v>2634</v>
      </c>
      <c r="BK143" s="20" t="s">
        <v>2159</v>
      </c>
      <c r="BL143" s="20" t="s">
        <v>2161</v>
      </c>
      <c r="BN143" s="5"/>
    </row>
    <row r="144" spans="16:66">
      <c r="P144" s="5" t="s">
        <v>2721</v>
      </c>
      <c r="BB144" s="4" t="s">
        <v>1988</v>
      </c>
      <c r="BC144" s="4" t="s">
        <v>1983</v>
      </c>
      <c r="BD144" s="4" t="s">
        <v>1983</v>
      </c>
      <c r="BI144" s="48">
        <v>140</v>
      </c>
      <c r="BJ144" s="55" t="s">
        <v>2385</v>
      </c>
      <c r="BK144" s="20" t="s">
        <v>2163</v>
      </c>
      <c r="BL144" s="20" t="s">
        <v>2163</v>
      </c>
      <c r="BN144" s="5"/>
    </row>
    <row r="145" spans="16:66">
      <c r="P145" s="5" t="s">
        <v>2818</v>
      </c>
      <c r="BB145" s="4" t="s">
        <v>710</v>
      </c>
      <c r="BC145" s="4" t="s">
        <v>1983</v>
      </c>
      <c r="BD145" s="4" t="s">
        <v>1983</v>
      </c>
      <c r="BI145" s="48">
        <v>141</v>
      </c>
      <c r="BJ145" s="55" t="s">
        <v>2160</v>
      </c>
      <c r="BK145" s="20" t="s">
        <v>2159</v>
      </c>
      <c r="BL145" s="20" t="s">
        <v>2160</v>
      </c>
      <c r="BN145" s="5"/>
    </row>
    <row r="146" spans="16:66">
      <c r="P146" s="5" t="s">
        <v>2761</v>
      </c>
      <c r="BB146" s="4" t="s">
        <v>699</v>
      </c>
      <c r="BC146" s="4" t="s">
        <v>1993</v>
      </c>
      <c r="BD146" s="4" t="s">
        <v>1983</v>
      </c>
      <c r="BI146" s="48">
        <v>142</v>
      </c>
      <c r="BJ146" s="55" t="s">
        <v>2516</v>
      </c>
      <c r="BK146" s="20" t="s">
        <v>2159</v>
      </c>
      <c r="BL146" s="20" t="s">
        <v>2160</v>
      </c>
      <c r="BN146" s="5"/>
    </row>
    <row r="147" spans="16:66">
      <c r="P147" s="5" t="s">
        <v>2765</v>
      </c>
      <c r="BB147" s="4" t="s">
        <v>705</v>
      </c>
      <c r="BC147" s="4" t="s">
        <v>704</v>
      </c>
      <c r="BD147" s="4" t="s">
        <v>1983</v>
      </c>
      <c r="BI147" s="48">
        <v>143</v>
      </c>
      <c r="BJ147" s="55" t="s">
        <v>2578</v>
      </c>
      <c r="BK147" s="20" t="s">
        <v>2159</v>
      </c>
      <c r="BL147" s="20" t="s">
        <v>2160</v>
      </c>
      <c r="BN147" s="5"/>
    </row>
    <row r="148" spans="16:66">
      <c r="P148" s="5" t="s">
        <v>2706</v>
      </c>
      <c r="BB148" s="4" t="s">
        <v>707</v>
      </c>
      <c r="BC148" s="4" t="s">
        <v>706</v>
      </c>
      <c r="BD148" s="4" t="s">
        <v>1983</v>
      </c>
      <c r="BI148" s="48">
        <v>144</v>
      </c>
      <c r="BJ148" s="55" t="s">
        <v>2197</v>
      </c>
      <c r="BK148" s="20" t="s">
        <v>2159</v>
      </c>
      <c r="BL148" s="20" t="s">
        <v>2160</v>
      </c>
      <c r="BN148" s="5"/>
    </row>
    <row r="149" spans="16:66">
      <c r="P149" s="5" t="s">
        <v>2672</v>
      </c>
      <c r="BB149" s="4" t="s">
        <v>709</v>
      </c>
      <c r="BC149" s="4" t="s">
        <v>708</v>
      </c>
      <c r="BD149" s="4" t="s">
        <v>1983</v>
      </c>
      <c r="BI149" s="48">
        <v>145</v>
      </c>
      <c r="BJ149" s="55" t="s">
        <v>2201</v>
      </c>
      <c r="BK149" s="20" t="s">
        <v>2159</v>
      </c>
      <c r="BL149" s="20" t="s">
        <v>2161</v>
      </c>
      <c r="BN149" s="5"/>
    </row>
    <row r="150" spans="16:66">
      <c r="P150" s="5" t="s">
        <v>2688</v>
      </c>
      <c r="BB150" s="4" t="s">
        <v>703</v>
      </c>
      <c r="BC150" s="4" t="s">
        <v>702</v>
      </c>
      <c r="BD150" s="4" t="s">
        <v>1983</v>
      </c>
      <c r="BI150" s="48">
        <v>146</v>
      </c>
      <c r="BJ150" s="55" t="s">
        <v>2202</v>
      </c>
      <c r="BK150" s="20" t="s">
        <v>2159</v>
      </c>
      <c r="BL150" s="20" t="s">
        <v>2161</v>
      </c>
      <c r="BN150" s="5"/>
    </row>
    <row r="151" spans="16:66">
      <c r="P151" s="5" t="s">
        <v>2693</v>
      </c>
      <c r="BB151" s="4" t="s">
        <v>741</v>
      </c>
      <c r="BC151" s="4" t="s">
        <v>740</v>
      </c>
      <c r="BD151" s="4" t="s">
        <v>1938</v>
      </c>
      <c r="BI151" s="48">
        <v>147</v>
      </c>
      <c r="BJ151" s="55" t="s">
        <v>2198</v>
      </c>
      <c r="BK151" s="20" t="s">
        <v>2159</v>
      </c>
      <c r="BL151" s="20" t="s">
        <v>2160</v>
      </c>
      <c r="BN151" s="5"/>
    </row>
    <row r="152" spans="16:66">
      <c r="P152" s="5" t="s">
        <v>2679</v>
      </c>
      <c r="BB152" s="4" t="s">
        <v>739</v>
      </c>
      <c r="BC152" s="4" t="s">
        <v>738</v>
      </c>
      <c r="BD152" s="4" t="s">
        <v>1938</v>
      </c>
      <c r="BI152" s="48">
        <v>148</v>
      </c>
      <c r="BJ152" s="55" t="s">
        <v>2213</v>
      </c>
      <c r="BK152" s="20" t="s">
        <v>2159</v>
      </c>
      <c r="BL152" s="20" t="s">
        <v>2160</v>
      </c>
      <c r="BN152" s="5"/>
    </row>
    <row r="153" spans="16:66">
      <c r="P153" s="5" t="s">
        <v>2794</v>
      </c>
      <c r="BB153" s="4" t="s">
        <v>735</v>
      </c>
      <c r="BC153" s="4" t="s">
        <v>1938</v>
      </c>
      <c r="BD153" s="4" t="s">
        <v>1938</v>
      </c>
      <c r="BI153" s="48">
        <v>149</v>
      </c>
      <c r="BJ153" s="55" t="s">
        <v>2199</v>
      </c>
      <c r="BK153" s="20" t="s">
        <v>2159</v>
      </c>
      <c r="BL153" s="20" t="s">
        <v>2160</v>
      </c>
      <c r="BN153" s="5"/>
    </row>
    <row r="154" spans="16:66">
      <c r="P154" s="5" t="s">
        <v>2786</v>
      </c>
      <c r="BB154" s="4" t="s">
        <v>736</v>
      </c>
      <c r="BC154" s="4" t="s">
        <v>1938</v>
      </c>
      <c r="BD154" s="4" t="s">
        <v>1938</v>
      </c>
      <c r="BI154" s="48">
        <v>150</v>
      </c>
      <c r="BJ154" s="55" t="s">
        <v>2170</v>
      </c>
      <c r="BK154" s="20" t="s">
        <v>2169</v>
      </c>
      <c r="BL154" s="20" t="s">
        <v>2161</v>
      </c>
      <c r="BN154" s="5"/>
    </row>
    <row r="155" spans="16:66">
      <c r="P155" s="5" t="s">
        <v>2707</v>
      </c>
      <c r="BB155" s="4" t="s">
        <v>737</v>
      </c>
      <c r="BC155" s="4" t="s">
        <v>1938</v>
      </c>
      <c r="BD155" s="4" t="s">
        <v>1938</v>
      </c>
      <c r="BI155" s="48">
        <v>151</v>
      </c>
      <c r="BJ155" s="55" t="s">
        <v>2377</v>
      </c>
      <c r="BK155" s="20" t="s">
        <v>2169</v>
      </c>
      <c r="BL155" s="20" t="s">
        <v>2192</v>
      </c>
      <c r="BN155" s="5"/>
    </row>
    <row r="156" spans="16:66">
      <c r="P156" s="5" t="s">
        <v>2740</v>
      </c>
      <c r="BB156" s="4" t="s">
        <v>745</v>
      </c>
      <c r="BC156" s="4" t="s">
        <v>744</v>
      </c>
      <c r="BD156" s="4" t="s">
        <v>1938</v>
      </c>
      <c r="BI156" s="48">
        <v>152</v>
      </c>
      <c r="BJ156" s="55" t="s">
        <v>2266</v>
      </c>
      <c r="BK156" s="20" t="s">
        <v>2169</v>
      </c>
      <c r="BL156" s="20" t="s">
        <v>2170</v>
      </c>
      <c r="BN156" s="5"/>
    </row>
    <row r="157" spans="16:66">
      <c r="P157" s="5" t="s">
        <v>2763</v>
      </c>
      <c r="BB157" s="4" t="s">
        <v>743</v>
      </c>
      <c r="BC157" s="4" t="s">
        <v>742</v>
      </c>
      <c r="BD157" s="4" t="s">
        <v>1938</v>
      </c>
      <c r="BI157" s="48">
        <v>153</v>
      </c>
      <c r="BJ157" s="55" t="s">
        <v>2381</v>
      </c>
      <c r="BK157" s="20" t="s">
        <v>2169</v>
      </c>
      <c r="BL157" s="20" t="s">
        <v>2192</v>
      </c>
      <c r="BN157" s="5"/>
    </row>
    <row r="158" spans="16:66">
      <c r="P158" s="5" t="s">
        <v>2711</v>
      </c>
      <c r="BB158" s="4" t="s">
        <v>754</v>
      </c>
      <c r="BC158" s="4" t="s">
        <v>753</v>
      </c>
      <c r="BD158" s="4" t="s">
        <v>200</v>
      </c>
      <c r="BI158" s="48">
        <v>154</v>
      </c>
      <c r="BJ158" s="55" t="s">
        <v>2394</v>
      </c>
      <c r="BK158" s="20" t="s">
        <v>2169</v>
      </c>
      <c r="BL158" s="20" t="s">
        <v>2191</v>
      </c>
      <c r="BN158" s="5"/>
    </row>
    <row r="159" spans="16:66">
      <c r="P159" s="5" t="s">
        <v>2719</v>
      </c>
      <c r="BB159" s="4" t="s">
        <v>756</v>
      </c>
      <c r="BC159" s="4" t="s">
        <v>755</v>
      </c>
      <c r="BD159" s="4" t="s">
        <v>200</v>
      </c>
      <c r="BI159" s="48">
        <v>155</v>
      </c>
      <c r="BJ159" s="55" t="s">
        <v>2395</v>
      </c>
      <c r="BK159" s="20" t="s">
        <v>2169</v>
      </c>
      <c r="BL159" s="20" t="s">
        <v>2191</v>
      </c>
      <c r="BN159" s="5"/>
    </row>
    <row r="160" spans="16:66">
      <c r="P160" s="5" t="s">
        <v>2757</v>
      </c>
      <c r="BB160" s="4" t="s">
        <v>758</v>
      </c>
      <c r="BC160" s="4" t="s">
        <v>757</v>
      </c>
      <c r="BD160" s="4" t="s">
        <v>200</v>
      </c>
      <c r="BI160" s="48">
        <v>156</v>
      </c>
      <c r="BJ160" s="55" t="s">
        <v>2375</v>
      </c>
      <c r="BK160" s="20" t="s">
        <v>2169</v>
      </c>
      <c r="BL160" s="20" t="s">
        <v>2191</v>
      </c>
      <c r="BN160" s="5"/>
    </row>
    <row r="161" spans="16:66">
      <c r="P161" s="5" t="s">
        <v>2737</v>
      </c>
      <c r="BB161" s="4" t="s">
        <v>2002</v>
      </c>
      <c r="BC161" s="4" t="s">
        <v>200</v>
      </c>
      <c r="BD161" s="4" t="s">
        <v>200</v>
      </c>
      <c r="BI161" s="48">
        <v>157</v>
      </c>
      <c r="BJ161" s="55" t="s">
        <v>2365</v>
      </c>
      <c r="BK161" s="20" t="s">
        <v>2169</v>
      </c>
      <c r="BL161" s="20" t="s">
        <v>2170</v>
      </c>
      <c r="BN161" s="5"/>
    </row>
    <row r="162" spans="16:66">
      <c r="P162" s="5" t="s">
        <v>2674</v>
      </c>
      <c r="BB162" s="4" t="s">
        <v>201</v>
      </c>
      <c r="BC162" s="4" t="s">
        <v>200</v>
      </c>
      <c r="BD162" s="4" t="s">
        <v>200</v>
      </c>
      <c r="BI162" s="48">
        <v>158</v>
      </c>
      <c r="BJ162" s="55" t="s">
        <v>2178</v>
      </c>
      <c r="BK162" s="20" t="s">
        <v>2169</v>
      </c>
      <c r="BL162" s="20" t="s">
        <v>2178</v>
      </c>
      <c r="BN162" s="5"/>
    </row>
    <row r="163" spans="16:66">
      <c r="P163" s="5" t="s">
        <v>2751</v>
      </c>
      <c r="BB163" s="4" t="s">
        <v>395</v>
      </c>
      <c r="BC163" s="4" t="s">
        <v>200</v>
      </c>
      <c r="BD163" s="4" t="s">
        <v>200</v>
      </c>
      <c r="BI163" s="48">
        <v>159</v>
      </c>
      <c r="BJ163" s="55" t="s">
        <v>2283</v>
      </c>
      <c r="BK163" s="20" t="s">
        <v>2169</v>
      </c>
      <c r="BL163" s="20" t="s">
        <v>2178</v>
      </c>
      <c r="BN163" s="5"/>
    </row>
    <row r="164" spans="16:66">
      <c r="P164" s="5" t="s">
        <v>2762</v>
      </c>
      <c r="BB164" s="4" t="s">
        <v>752</v>
      </c>
      <c r="BC164" s="4" t="s">
        <v>200</v>
      </c>
      <c r="BD164" s="4" t="s">
        <v>200</v>
      </c>
      <c r="BI164" s="48">
        <v>160</v>
      </c>
      <c r="BJ164" s="55" t="s">
        <v>2282</v>
      </c>
      <c r="BK164" s="20" t="s">
        <v>2175</v>
      </c>
      <c r="BL164" s="20" t="s">
        <v>2178</v>
      </c>
      <c r="BN164" s="5"/>
    </row>
    <row r="165" spans="16:66">
      <c r="P165" s="5" t="s">
        <v>2817</v>
      </c>
      <c r="BB165" s="4" t="s">
        <v>1545</v>
      </c>
      <c r="BC165" s="4" t="s">
        <v>200</v>
      </c>
      <c r="BD165" s="4" t="s">
        <v>200</v>
      </c>
      <c r="BI165" s="48">
        <v>161</v>
      </c>
      <c r="BJ165" s="55" t="s">
        <v>2280</v>
      </c>
      <c r="BK165" s="20" t="s">
        <v>2175</v>
      </c>
      <c r="BL165" s="20" t="s">
        <v>2178</v>
      </c>
      <c r="BN165" s="5"/>
    </row>
    <row r="166" spans="16:66">
      <c r="P166" s="5" t="s">
        <v>2708</v>
      </c>
      <c r="BB166" s="4" t="s">
        <v>868</v>
      </c>
      <c r="BC166" s="4" t="s">
        <v>867</v>
      </c>
      <c r="BD166" s="4" t="s">
        <v>867</v>
      </c>
      <c r="BI166" s="48">
        <v>162</v>
      </c>
      <c r="BJ166" s="55" t="s">
        <v>2279</v>
      </c>
      <c r="BK166" s="20" t="s">
        <v>2175</v>
      </c>
      <c r="BL166" s="20" t="s">
        <v>2178</v>
      </c>
      <c r="BN166" s="5"/>
    </row>
    <row r="167" spans="16:66">
      <c r="P167" s="5" t="s">
        <v>2773</v>
      </c>
      <c r="BB167" s="4" t="s">
        <v>916</v>
      </c>
      <c r="BC167" s="4" t="s">
        <v>867</v>
      </c>
      <c r="BD167" s="4" t="s">
        <v>867</v>
      </c>
      <c r="BI167" s="48">
        <v>163</v>
      </c>
      <c r="BJ167" s="55" t="s">
        <v>2281</v>
      </c>
      <c r="BK167" s="20" t="s">
        <v>2175</v>
      </c>
      <c r="BL167" s="20" t="s">
        <v>2178</v>
      </c>
      <c r="BN167" s="5"/>
    </row>
    <row r="168" spans="16:66">
      <c r="P168" s="5" t="s">
        <v>2709</v>
      </c>
      <c r="BB168" s="4" t="s">
        <v>870</v>
      </c>
      <c r="BC168" s="4" t="s">
        <v>869</v>
      </c>
      <c r="BD168" s="4" t="s">
        <v>867</v>
      </c>
      <c r="BI168" s="48">
        <v>164</v>
      </c>
      <c r="BJ168" s="55" t="s">
        <v>2305</v>
      </c>
      <c r="BK168" s="20" t="s">
        <v>2163</v>
      </c>
      <c r="BL168" s="20" t="s">
        <v>2163</v>
      </c>
      <c r="BN168" s="5"/>
    </row>
    <row r="169" spans="16:66">
      <c r="P169" s="5" t="s">
        <v>2718</v>
      </c>
      <c r="BB169" s="4" t="s">
        <v>915</v>
      </c>
      <c r="BC169" s="4" t="s">
        <v>907</v>
      </c>
      <c r="BD169" s="4" t="s">
        <v>907</v>
      </c>
      <c r="BI169" s="48">
        <v>165</v>
      </c>
      <c r="BJ169" s="55" t="s">
        <v>2373</v>
      </c>
      <c r="BK169" s="20" t="s">
        <v>2163</v>
      </c>
      <c r="BL169" s="20" t="s">
        <v>2163</v>
      </c>
      <c r="BN169" s="5"/>
    </row>
    <row r="170" spans="16:66">
      <c r="P170" s="5" t="s">
        <v>2755</v>
      </c>
      <c r="BB170" s="4" t="s">
        <v>872</v>
      </c>
      <c r="BC170" s="4" t="s">
        <v>871</v>
      </c>
      <c r="BD170" s="4" t="s">
        <v>871</v>
      </c>
      <c r="BI170" s="48">
        <v>166</v>
      </c>
      <c r="BJ170" s="55" t="s">
        <v>2658</v>
      </c>
      <c r="BK170" s="20" t="s">
        <v>2159</v>
      </c>
      <c r="BL170" s="20" t="s">
        <v>2161</v>
      </c>
      <c r="BN170" s="5"/>
    </row>
    <row r="171" spans="16:66">
      <c r="BB171" s="4" t="s">
        <v>873</v>
      </c>
      <c r="BC171" s="4" t="s">
        <v>871</v>
      </c>
      <c r="BD171" s="4" t="s">
        <v>871</v>
      </c>
      <c r="BI171" s="48">
        <v>167</v>
      </c>
      <c r="BJ171" s="55" t="s">
        <v>2382</v>
      </c>
      <c r="BK171" s="20" t="s">
        <v>2159</v>
      </c>
      <c r="BL171" s="20" t="s">
        <v>2161</v>
      </c>
      <c r="BN171" s="5"/>
    </row>
    <row r="172" spans="16:66">
      <c r="BB172" s="4" t="s">
        <v>874</v>
      </c>
      <c r="BC172" s="4" t="s">
        <v>871</v>
      </c>
      <c r="BD172" s="4" t="s">
        <v>871</v>
      </c>
      <c r="BI172" s="48">
        <v>168</v>
      </c>
      <c r="BJ172" s="55" t="s">
        <v>2656</v>
      </c>
      <c r="BK172" s="20" t="s">
        <v>2159</v>
      </c>
      <c r="BL172" s="20" t="s">
        <v>2161</v>
      </c>
      <c r="BN172" s="5"/>
    </row>
    <row r="173" spans="16:66">
      <c r="BB173" s="4" t="s">
        <v>913</v>
      </c>
      <c r="BC173" s="4" t="s">
        <v>871</v>
      </c>
      <c r="BD173" s="4" t="s">
        <v>871</v>
      </c>
      <c r="BI173" s="48">
        <v>169</v>
      </c>
      <c r="BJ173" s="55" t="s">
        <v>2652</v>
      </c>
      <c r="BK173" s="20" t="s">
        <v>2159</v>
      </c>
      <c r="BL173" s="20" t="s">
        <v>2161</v>
      </c>
      <c r="BN173" s="5"/>
    </row>
    <row r="174" spans="16:66">
      <c r="BB174" s="4" t="s">
        <v>882</v>
      </c>
      <c r="BC174" s="4" t="s">
        <v>881</v>
      </c>
      <c r="BD174" s="4" t="s">
        <v>871</v>
      </c>
      <c r="BI174" s="48">
        <v>170</v>
      </c>
      <c r="BJ174" s="55" t="s">
        <v>2651</v>
      </c>
      <c r="BK174" s="20" t="s">
        <v>2159</v>
      </c>
      <c r="BL174" s="20" t="s">
        <v>2161</v>
      </c>
      <c r="BN174" s="5"/>
    </row>
    <row r="175" spans="16:66">
      <c r="BB175" s="4" t="s">
        <v>883</v>
      </c>
      <c r="BC175" s="4" t="s">
        <v>881</v>
      </c>
      <c r="BD175" s="4" t="s">
        <v>871</v>
      </c>
      <c r="BI175" s="48">
        <v>171</v>
      </c>
      <c r="BJ175" s="55" t="s">
        <v>2657</v>
      </c>
      <c r="BK175" s="20" t="s">
        <v>2159</v>
      </c>
      <c r="BL175" s="20" t="s">
        <v>2161</v>
      </c>
      <c r="BN175" s="5"/>
    </row>
    <row r="176" spans="16:66">
      <c r="BB176" s="4" t="s">
        <v>878</v>
      </c>
      <c r="BC176" s="4" t="s">
        <v>877</v>
      </c>
      <c r="BD176" s="4" t="s">
        <v>871</v>
      </c>
      <c r="BI176" s="48">
        <v>172</v>
      </c>
      <c r="BJ176" s="55" t="s">
        <v>2655</v>
      </c>
      <c r="BK176" s="20" t="s">
        <v>2159</v>
      </c>
      <c r="BL176" s="20" t="s">
        <v>2161</v>
      </c>
      <c r="BN176" s="5"/>
    </row>
    <row r="177" spans="54:66">
      <c r="BB177" s="4" t="s">
        <v>880</v>
      </c>
      <c r="BC177" s="4" t="s">
        <v>879</v>
      </c>
      <c r="BD177" s="4" t="s">
        <v>871</v>
      </c>
      <c r="BI177" s="48">
        <v>173</v>
      </c>
      <c r="BJ177" s="55" t="s">
        <v>2653</v>
      </c>
      <c r="BK177" s="20" t="s">
        <v>2159</v>
      </c>
      <c r="BL177" s="20" t="s">
        <v>2161</v>
      </c>
      <c r="BN177" s="5"/>
    </row>
    <row r="178" spans="54:66">
      <c r="BB178" s="4" t="s">
        <v>876</v>
      </c>
      <c r="BC178" s="4" t="s">
        <v>875</v>
      </c>
      <c r="BD178" s="4" t="s">
        <v>871</v>
      </c>
      <c r="BI178" s="48">
        <v>174</v>
      </c>
      <c r="BJ178" s="55" t="s">
        <v>2654</v>
      </c>
      <c r="BK178" s="20" t="s">
        <v>2159</v>
      </c>
      <c r="BL178" s="20" t="s">
        <v>2161</v>
      </c>
      <c r="BN178" s="5"/>
    </row>
    <row r="179" spans="54:66">
      <c r="BB179" s="4" t="s">
        <v>911</v>
      </c>
      <c r="BC179" s="4" t="s">
        <v>910</v>
      </c>
      <c r="BD179" s="4" t="s">
        <v>907</v>
      </c>
      <c r="BI179" s="48">
        <v>175</v>
      </c>
      <c r="BJ179" s="55" t="s">
        <v>2314</v>
      </c>
      <c r="BK179" s="20" t="s">
        <v>2163</v>
      </c>
      <c r="BL179" s="20" t="s">
        <v>2163</v>
      </c>
      <c r="BN179" s="5"/>
    </row>
    <row r="180" spans="54:66">
      <c r="BB180" s="4" t="s">
        <v>908</v>
      </c>
      <c r="BC180" s="4" t="s">
        <v>907</v>
      </c>
      <c r="BD180" s="4" t="s">
        <v>907</v>
      </c>
      <c r="BI180" s="48">
        <v>176</v>
      </c>
      <c r="BJ180" s="55" t="s">
        <v>2389</v>
      </c>
      <c r="BK180" s="20" t="s">
        <v>2163</v>
      </c>
      <c r="BL180" s="20" t="s">
        <v>2163</v>
      </c>
      <c r="BN180" s="5"/>
    </row>
    <row r="181" spans="54:66">
      <c r="BB181" s="4" t="s">
        <v>2003</v>
      </c>
      <c r="BC181" s="4" t="s">
        <v>907</v>
      </c>
      <c r="BD181" s="4" t="s">
        <v>907</v>
      </c>
      <c r="BI181" s="48">
        <v>177</v>
      </c>
      <c r="BJ181" s="55" t="s">
        <v>2390</v>
      </c>
      <c r="BK181" s="20" t="s">
        <v>2163</v>
      </c>
      <c r="BL181" s="20" t="s">
        <v>2163</v>
      </c>
      <c r="BN181" s="5"/>
    </row>
    <row r="182" spans="54:66">
      <c r="BB182" s="4" t="s">
        <v>1522</v>
      </c>
      <c r="BC182" s="4" t="s">
        <v>907</v>
      </c>
      <c r="BD182" s="4" t="s">
        <v>907</v>
      </c>
      <c r="BI182" s="48">
        <v>178</v>
      </c>
      <c r="BJ182" s="55" t="s">
        <v>2380</v>
      </c>
      <c r="BK182" s="20" t="s">
        <v>2163</v>
      </c>
      <c r="BL182" s="20" t="s">
        <v>2163</v>
      </c>
      <c r="BN182" s="5"/>
    </row>
    <row r="183" spans="54:66">
      <c r="BB183" s="4" t="s">
        <v>981</v>
      </c>
      <c r="BC183" s="4" t="s">
        <v>1023</v>
      </c>
      <c r="BD183" s="4" t="s">
        <v>1023</v>
      </c>
      <c r="BI183" s="48">
        <v>179</v>
      </c>
      <c r="BJ183" s="55" t="s">
        <v>2597</v>
      </c>
      <c r="BK183" s="20" t="s">
        <v>2163</v>
      </c>
      <c r="BL183" s="20" t="s">
        <v>2163</v>
      </c>
      <c r="BN183" s="5"/>
    </row>
    <row r="184" spans="54:66">
      <c r="BB184" s="4" t="s">
        <v>1024</v>
      </c>
      <c r="BC184" s="4" t="s">
        <v>1023</v>
      </c>
      <c r="BD184" s="4" t="s">
        <v>1023</v>
      </c>
      <c r="BI184" s="48">
        <v>180</v>
      </c>
      <c r="BJ184" s="55" t="s">
        <v>2355</v>
      </c>
      <c r="BK184" s="20" t="s">
        <v>2183</v>
      </c>
      <c r="BL184" s="20" t="s">
        <v>2186</v>
      </c>
      <c r="BN184" s="5"/>
    </row>
    <row r="185" spans="54:66">
      <c r="BB185" s="4" t="s">
        <v>1025</v>
      </c>
      <c r="BC185" s="4" t="s">
        <v>1023</v>
      </c>
      <c r="BD185" s="4" t="s">
        <v>1023</v>
      </c>
      <c r="BI185" s="48">
        <v>181</v>
      </c>
      <c r="BJ185" s="55" t="s">
        <v>2356</v>
      </c>
      <c r="BK185" s="20" t="s">
        <v>2183</v>
      </c>
      <c r="BL185" s="20" t="s">
        <v>2186</v>
      </c>
      <c r="BN185" s="5"/>
    </row>
    <row r="186" spans="54:66">
      <c r="BB186" s="4" t="s">
        <v>1026</v>
      </c>
      <c r="BC186" s="4" t="s">
        <v>1023</v>
      </c>
      <c r="BD186" s="4" t="s">
        <v>1023</v>
      </c>
      <c r="BI186" s="48">
        <v>182</v>
      </c>
      <c r="BJ186" s="55" t="s">
        <v>2299</v>
      </c>
      <c r="BK186" s="20" t="s">
        <v>2163</v>
      </c>
      <c r="BL186" s="20" t="s">
        <v>2163</v>
      </c>
      <c r="BN186" s="5"/>
    </row>
    <row r="187" spans="54:66">
      <c r="BB187" s="4" t="s">
        <v>1035</v>
      </c>
      <c r="BC187" s="4" t="s">
        <v>1034</v>
      </c>
      <c r="BD187" s="4" t="s">
        <v>1023</v>
      </c>
      <c r="BI187" s="48">
        <v>183</v>
      </c>
      <c r="BJ187" s="55" t="s">
        <v>2218</v>
      </c>
      <c r="BK187" s="20" t="s">
        <v>2159</v>
      </c>
      <c r="BL187" s="20" t="s">
        <v>2160</v>
      </c>
      <c r="BN187" s="5"/>
    </row>
    <row r="188" spans="54:66">
      <c r="BB188" s="4" t="s">
        <v>1028</v>
      </c>
      <c r="BC188" s="4" t="s">
        <v>1027</v>
      </c>
      <c r="BD188" s="4" t="s">
        <v>922</v>
      </c>
      <c r="BI188" s="48">
        <v>184</v>
      </c>
      <c r="BJ188" s="55" t="s">
        <v>2200</v>
      </c>
      <c r="BK188" s="20" t="s">
        <v>2159</v>
      </c>
      <c r="BL188" s="20" t="s">
        <v>2160</v>
      </c>
      <c r="BN188" s="5"/>
    </row>
    <row r="189" spans="54:66">
      <c r="BB189" s="4" t="s">
        <v>923</v>
      </c>
      <c r="BC189" s="4" t="s">
        <v>922</v>
      </c>
      <c r="BD189" s="4" t="s">
        <v>922</v>
      </c>
      <c r="BI189" s="48">
        <v>185</v>
      </c>
      <c r="BJ189" s="55" t="s">
        <v>2303</v>
      </c>
      <c r="BK189" s="20" t="s">
        <v>2180</v>
      </c>
      <c r="BL189" s="20" t="s">
        <v>2182</v>
      </c>
      <c r="BN189" s="5"/>
    </row>
    <row r="190" spans="54:66">
      <c r="BB190" s="4" t="s">
        <v>924</v>
      </c>
      <c r="BC190" s="4" t="s">
        <v>922</v>
      </c>
      <c r="BD190" s="4" t="s">
        <v>922</v>
      </c>
      <c r="BI190" s="48">
        <v>186</v>
      </c>
      <c r="BJ190" s="55" t="s">
        <v>2304</v>
      </c>
      <c r="BK190" s="20" t="s">
        <v>2180</v>
      </c>
      <c r="BL190" s="20" t="s">
        <v>2182</v>
      </c>
      <c r="BN190" s="5"/>
    </row>
    <row r="191" spans="54:66">
      <c r="BB191" s="4" t="s">
        <v>925</v>
      </c>
      <c r="BC191" s="4" t="s">
        <v>922</v>
      </c>
      <c r="BD191" s="4" t="s">
        <v>922</v>
      </c>
      <c r="BI191" s="48">
        <v>187</v>
      </c>
      <c r="BJ191" s="55" t="s">
        <v>2301</v>
      </c>
      <c r="BK191" s="20" t="s">
        <v>2180</v>
      </c>
      <c r="BL191" s="20" t="s">
        <v>2181</v>
      </c>
      <c r="BN191" s="5"/>
    </row>
    <row r="192" spans="54:66">
      <c r="BB192" s="4" t="s">
        <v>926</v>
      </c>
      <c r="BC192" s="4" t="s">
        <v>922</v>
      </c>
      <c r="BD192" s="4" t="s">
        <v>922</v>
      </c>
      <c r="BI192" s="48">
        <v>188</v>
      </c>
      <c r="BJ192" s="55" t="s">
        <v>2559</v>
      </c>
      <c r="BK192" s="20" t="s">
        <v>2163</v>
      </c>
      <c r="BL192" s="20" t="s">
        <v>2163</v>
      </c>
      <c r="BN192" s="5"/>
    </row>
    <row r="193" spans="54:66">
      <c r="BB193" s="4" t="s">
        <v>927</v>
      </c>
      <c r="BC193" s="4" t="s">
        <v>922</v>
      </c>
      <c r="BD193" s="4" t="s">
        <v>922</v>
      </c>
      <c r="BI193" s="48">
        <v>189</v>
      </c>
      <c r="BJ193" s="55" t="s">
        <v>2345</v>
      </c>
      <c r="BK193" s="20" t="s">
        <v>2163</v>
      </c>
      <c r="BL193" s="20" t="s">
        <v>2163</v>
      </c>
      <c r="BN193" s="5"/>
    </row>
    <row r="194" spans="54:66">
      <c r="BB194" s="4" t="s">
        <v>1058</v>
      </c>
      <c r="BC194" s="4" t="s">
        <v>922</v>
      </c>
      <c r="BD194" s="4" t="s">
        <v>922</v>
      </c>
      <c r="BI194" s="48">
        <v>190</v>
      </c>
      <c r="BJ194" s="55" t="s">
        <v>2607</v>
      </c>
      <c r="BK194" s="20" t="s">
        <v>2163</v>
      </c>
      <c r="BL194" s="20" t="s">
        <v>2163</v>
      </c>
      <c r="BN194" s="5"/>
    </row>
    <row r="195" spans="54:66">
      <c r="BB195" s="4" t="s">
        <v>1335</v>
      </c>
      <c r="BC195" s="4" t="s">
        <v>922</v>
      </c>
      <c r="BD195" s="4" t="s">
        <v>922</v>
      </c>
      <c r="BI195" s="48">
        <v>191</v>
      </c>
      <c r="BJ195" s="55" t="s">
        <v>2608</v>
      </c>
      <c r="BK195" s="20" t="s">
        <v>2163</v>
      </c>
      <c r="BL195" s="20" t="s">
        <v>2163</v>
      </c>
      <c r="BN195" s="5"/>
    </row>
    <row r="196" spans="54:66">
      <c r="BB196" s="4" t="s">
        <v>935</v>
      </c>
      <c r="BC196" s="4" t="s">
        <v>934</v>
      </c>
      <c r="BD196" s="4" t="s">
        <v>922</v>
      </c>
      <c r="BI196" s="48">
        <v>192</v>
      </c>
      <c r="BJ196" s="55" t="s">
        <v>2162</v>
      </c>
      <c r="BK196" s="20" t="s">
        <v>2159</v>
      </c>
      <c r="BL196" s="20" t="s">
        <v>2162</v>
      </c>
      <c r="BN196" s="5"/>
    </row>
    <row r="197" spans="54:66">
      <c r="BB197" s="4" t="s">
        <v>1031</v>
      </c>
      <c r="BC197" s="4" t="s">
        <v>1030</v>
      </c>
      <c r="BD197" s="4" t="s">
        <v>922</v>
      </c>
      <c r="BI197" s="48">
        <v>193</v>
      </c>
      <c r="BJ197" s="55" t="s">
        <v>2579</v>
      </c>
      <c r="BK197" s="20" t="s">
        <v>2159</v>
      </c>
      <c r="BL197" s="20" t="s">
        <v>2162</v>
      </c>
      <c r="BN197" s="5"/>
    </row>
    <row r="198" spans="54:66">
      <c r="BB198" s="4" t="s">
        <v>929</v>
      </c>
      <c r="BC198" s="4" t="s">
        <v>928</v>
      </c>
      <c r="BD198" s="4" t="s">
        <v>922</v>
      </c>
      <c r="BI198" s="48">
        <v>194</v>
      </c>
      <c r="BJ198" s="55" t="s">
        <v>2363</v>
      </c>
      <c r="BK198" s="20" t="s">
        <v>2159</v>
      </c>
      <c r="BL198" s="20" t="s">
        <v>2162</v>
      </c>
      <c r="BN198" s="5"/>
    </row>
    <row r="199" spans="54:66">
      <c r="BB199" s="4" t="s">
        <v>1033</v>
      </c>
      <c r="BC199" s="4" t="s">
        <v>1032</v>
      </c>
      <c r="BD199" s="4" t="s">
        <v>922</v>
      </c>
      <c r="BI199" s="48">
        <v>195</v>
      </c>
      <c r="BJ199" s="55" t="s">
        <v>2517</v>
      </c>
      <c r="BK199" s="20" t="s">
        <v>2159</v>
      </c>
      <c r="BL199" s="20" t="s">
        <v>2162</v>
      </c>
      <c r="BN199" s="5"/>
    </row>
    <row r="200" spans="54:66">
      <c r="BB200" s="4" t="s">
        <v>931</v>
      </c>
      <c r="BC200" s="4" t="s">
        <v>930</v>
      </c>
      <c r="BD200" s="4" t="s">
        <v>922</v>
      </c>
      <c r="BI200" s="48">
        <v>196</v>
      </c>
      <c r="BJ200" s="55" t="s">
        <v>2209</v>
      </c>
      <c r="BK200" s="20" t="s">
        <v>2159</v>
      </c>
      <c r="BL200" s="20" t="s">
        <v>2162</v>
      </c>
      <c r="BN200" s="5"/>
    </row>
    <row r="201" spans="54:66">
      <c r="BB201" s="4" t="s">
        <v>933</v>
      </c>
      <c r="BC201" s="4" t="s">
        <v>932</v>
      </c>
      <c r="BD201" s="4" t="s">
        <v>922</v>
      </c>
      <c r="BI201" s="48">
        <v>197</v>
      </c>
      <c r="BJ201" s="55" t="s">
        <v>2211</v>
      </c>
      <c r="BK201" s="20" t="s">
        <v>2159</v>
      </c>
      <c r="BL201" s="20" t="s">
        <v>2162</v>
      </c>
      <c r="BN201" s="5"/>
    </row>
    <row r="202" spans="54:66">
      <c r="BB202" s="4" t="s">
        <v>937</v>
      </c>
      <c r="BC202" s="4" t="s">
        <v>936</v>
      </c>
      <c r="BD202" s="4" t="s">
        <v>936</v>
      </c>
      <c r="BI202" s="48">
        <v>198</v>
      </c>
      <c r="BJ202" s="55" t="s">
        <v>2214</v>
      </c>
      <c r="BK202" s="20" t="s">
        <v>2159</v>
      </c>
      <c r="BL202" s="20" t="s">
        <v>2162</v>
      </c>
      <c r="BN202" s="5"/>
    </row>
    <row r="203" spans="54:66">
      <c r="BB203" s="4" t="s">
        <v>966</v>
      </c>
      <c r="BC203" s="4" t="s">
        <v>936</v>
      </c>
      <c r="BD203" s="4" t="s">
        <v>936</v>
      </c>
      <c r="BI203" s="48">
        <v>199</v>
      </c>
      <c r="BJ203" s="55" t="s">
        <v>2210</v>
      </c>
      <c r="BK203" s="20" t="s">
        <v>2159</v>
      </c>
      <c r="BL203" s="20" t="s">
        <v>2162</v>
      </c>
      <c r="BN203" s="5"/>
    </row>
    <row r="204" spans="54:66">
      <c r="BB204" s="4" t="s">
        <v>967</v>
      </c>
      <c r="BC204" s="4" t="s">
        <v>936</v>
      </c>
      <c r="BD204" s="4" t="s">
        <v>936</v>
      </c>
      <c r="BI204" s="48">
        <v>200</v>
      </c>
      <c r="BJ204" s="55" t="s">
        <v>2212</v>
      </c>
      <c r="BK204" s="20" t="s">
        <v>2159</v>
      </c>
      <c r="BL204" s="20" t="s">
        <v>2162</v>
      </c>
      <c r="BN204" s="5"/>
    </row>
    <row r="205" spans="54:66">
      <c r="BB205" s="4" t="s">
        <v>977</v>
      </c>
      <c r="BC205" s="4" t="s">
        <v>936</v>
      </c>
      <c r="BD205" s="4" t="s">
        <v>936</v>
      </c>
      <c r="BI205" s="48">
        <v>201</v>
      </c>
      <c r="BJ205" s="55" t="s">
        <v>2518</v>
      </c>
      <c r="BK205" s="20" t="s">
        <v>2159</v>
      </c>
      <c r="BL205" s="20" t="s">
        <v>2162</v>
      </c>
      <c r="BN205" s="5"/>
    </row>
    <row r="206" spans="54:66">
      <c r="BB206" s="4" t="s">
        <v>980</v>
      </c>
      <c r="BC206" s="4" t="s">
        <v>936</v>
      </c>
      <c r="BD206" s="4" t="s">
        <v>936</v>
      </c>
      <c r="BI206" s="48">
        <v>202</v>
      </c>
      <c r="BJ206" s="55" t="s">
        <v>2519</v>
      </c>
      <c r="BK206" s="20" t="s">
        <v>2159</v>
      </c>
      <c r="BL206" s="20" t="s">
        <v>2162</v>
      </c>
      <c r="BN206" s="5"/>
    </row>
    <row r="207" spans="54:66">
      <c r="BB207" s="4" t="s">
        <v>1059</v>
      </c>
      <c r="BC207" s="4" t="s">
        <v>936</v>
      </c>
      <c r="BD207" s="4" t="s">
        <v>936</v>
      </c>
      <c r="BI207" s="48">
        <v>203</v>
      </c>
      <c r="BJ207" s="55" t="s">
        <v>2659</v>
      </c>
      <c r="BK207" s="20" t="s">
        <v>2159</v>
      </c>
      <c r="BL207" s="20" t="s">
        <v>2162</v>
      </c>
      <c r="BN207" s="5"/>
    </row>
    <row r="208" spans="54:66">
      <c r="BB208" s="4" t="s">
        <v>1060</v>
      </c>
      <c r="BC208" s="4" t="s">
        <v>936</v>
      </c>
      <c r="BD208" s="4" t="s">
        <v>936</v>
      </c>
      <c r="BI208" s="48">
        <v>204</v>
      </c>
      <c r="BJ208" s="55" t="s">
        <v>2370</v>
      </c>
      <c r="BK208" s="20" t="s">
        <v>2163</v>
      </c>
      <c r="BL208" s="20" t="s">
        <v>2163</v>
      </c>
      <c r="BN208" s="5"/>
    </row>
    <row r="209" spans="54:66">
      <c r="BB209" s="4" t="s">
        <v>971</v>
      </c>
      <c r="BC209" s="4" t="s">
        <v>970</v>
      </c>
      <c r="BD209" s="4" t="s">
        <v>936</v>
      </c>
      <c r="BI209" s="48">
        <v>205</v>
      </c>
      <c r="BJ209" s="55" t="s">
        <v>2369</v>
      </c>
      <c r="BK209" s="20" t="s">
        <v>2190</v>
      </c>
      <c r="BL209" s="20" t="s">
        <v>2190</v>
      </c>
      <c r="BN209" s="5"/>
    </row>
    <row r="210" spans="54:66">
      <c r="BB210" s="4" t="s">
        <v>974</v>
      </c>
      <c r="BC210" s="4" t="s">
        <v>975</v>
      </c>
      <c r="BD210" s="4" t="s">
        <v>936</v>
      </c>
      <c r="BI210" s="48">
        <v>206</v>
      </c>
      <c r="BJ210" s="55" t="s">
        <v>2580</v>
      </c>
      <c r="BK210" s="20" t="s">
        <v>2163</v>
      </c>
      <c r="BL210" s="20" t="s">
        <v>2163</v>
      </c>
      <c r="BN210" s="5"/>
    </row>
    <row r="211" spans="54:66">
      <c r="BB211" s="4" t="s">
        <v>976</v>
      </c>
      <c r="BC211" s="4" t="s">
        <v>975</v>
      </c>
      <c r="BD211" s="4" t="s">
        <v>936</v>
      </c>
      <c r="BI211" s="48">
        <v>207</v>
      </c>
      <c r="BJ211" s="55" t="s">
        <v>2371</v>
      </c>
      <c r="BK211" s="20" t="s">
        <v>2175</v>
      </c>
      <c r="BL211" s="20" t="s">
        <v>2179</v>
      </c>
      <c r="BN211" s="5"/>
    </row>
    <row r="212" spans="54:66">
      <c r="BB212" s="4" t="s">
        <v>969</v>
      </c>
      <c r="BC212" s="4" t="s">
        <v>968</v>
      </c>
      <c r="BD212" s="4" t="s">
        <v>936</v>
      </c>
      <c r="BI212" s="48">
        <v>208</v>
      </c>
      <c r="BJ212" s="55" t="s">
        <v>2372</v>
      </c>
      <c r="BK212" s="20" t="s">
        <v>2163</v>
      </c>
      <c r="BL212" s="20" t="s">
        <v>2163</v>
      </c>
      <c r="BN212" s="5"/>
    </row>
    <row r="213" spans="54:66">
      <c r="BB213" s="4" t="s">
        <v>973</v>
      </c>
      <c r="BC213" s="4" t="s">
        <v>972</v>
      </c>
      <c r="BD213" s="4" t="s">
        <v>936</v>
      </c>
      <c r="BI213" s="48">
        <v>209</v>
      </c>
      <c r="BJ213" s="55" t="s">
        <v>2359</v>
      </c>
      <c r="BK213" s="20" t="s">
        <v>2163</v>
      </c>
      <c r="BL213" s="20" t="s">
        <v>2163</v>
      </c>
      <c r="BN213" s="5"/>
    </row>
    <row r="214" spans="54:66">
      <c r="BB214" s="4" t="s">
        <v>994</v>
      </c>
      <c r="BC214" s="4" t="s">
        <v>993</v>
      </c>
      <c r="BD214" s="4" t="s">
        <v>25</v>
      </c>
      <c r="BI214" s="48">
        <v>210</v>
      </c>
      <c r="BJ214" s="55" t="s">
        <v>2362</v>
      </c>
      <c r="BK214" s="20" t="s">
        <v>2163</v>
      </c>
      <c r="BL214" s="20" t="s">
        <v>2163</v>
      </c>
      <c r="BN214" s="5"/>
    </row>
    <row r="215" spans="54:66">
      <c r="BB215" s="4" t="s">
        <v>26</v>
      </c>
      <c r="BC215" s="4" t="s">
        <v>25</v>
      </c>
      <c r="BD215" s="4" t="s">
        <v>25</v>
      </c>
      <c r="BI215" s="48">
        <v>211</v>
      </c>
      <c r="BJ215" s="55" t="s">
        <v>2581</v>
      </c>
      <c r="BK215" s="20" t="s">
        <v>2163</v>
      </c>
      <c r="BL215" s="20" t="s">
        <v>2163</v>
      </c>
      <c r="BN215" s="5"/>
    </row>
    <row r="216" spans="54:66">
      <c r="BB216" s="4" t="s">
        <v>984</v>
      </c>
      <c r="BC216" s="4" t="s">
        <v>25</v>
      </c>
      <c r="BD216" s="4" t="s">
        <v>25</v>
      </c>
      <c r="BI216" s="48">
        <v>212</v>
      </c>
      <c r="BJ216" s="55" t="s">
        <v>2243</v>
      </c>
      <c r="BK216" s="20" t="s">
        <v>2163</v>
      </c>
      <c r="BL216" s="20" t="s">
        <v>2163</v>
      </c>
      <c r="BN216" s="5"/>
    </row>
    <row r="217" spans="54:66">
      <c r="BB217" s="4" t="s">
        <v>985</v>
      </c>
      <c r="BC217" s="4" t="s">
        <v>25</v>
      </c>
      <c r="BD217" s="4" t="s">
        <v>25</v>
      </c>
      <c r="BI217" s="48">
        <v>213</v>
      </c>
      <c r="BJ217" s="55" t="s">
        <v>2242</v>
      </c>
      <c r="BK217" s="20" t="s">
        <v>2163</v>
      </c>
      <c r="BL217" s="20" t="s">
        <v>2163</v>
      </c>
      <c r="BN217" s="5"/>
    </row>
    <row r="218" spans="54:66">
      <c r="BB218" s="4" t="s">
        <v>1062</v>
      </c>
      <c r="BC218" s="4" t="s">
        <v>25</v>
      </c>
      <c r="BD218" s="4" t="s">
        <v>25</v>
      </c>
      <c r="BI218" s="48">
        <v>214</v>
      </c>
      <c r="BJ218" s="55" t="s">
        <v>2582</v>
      </c>
      <c r="BK218" s="20" t="s">
        <v>2163</v>
      </c>
      <c r="BL218" s="20" t="s">
        <v>2163</v>
      </c>
      <c r="BN218" s="5"/>
    </row>
    <row r="219" spans="54:66">
      <c r="BB219" s="4" t="s">
        <v>2004</v>
      </c>
      <c r="BC219" s="4" t="s">
        <v>25</v>
      </c>
      <c r="BD219" s="4" t="s">
        <v>25</v>
      </c>
      <c r="BI219" s="48">
        <v>215</v>
      </c>
      <c r="BJ219" s="55" t="s">
        <v>2335</v>
      </c>
      <c r="BK219" s="20" t="s">
        <v>2163</v>
      </c>
      <c r="BL219" s="20" t="s">
        <v>2163</v>
      </c>
      <c r="BN219" s="5"/>
    </row>
    <row r="220" spans="54:66">
      <c r="BB220" s="4" t="s">
        <v>1037</v>
      </c>
      <c r="BC220" s="4" t="s">
        <v>1036</v>
      </c>
      <c r="BD220" s="4" t="s">
        <v>986</v>
      </c>
      <c r="BI220" s="48">
        <v>216</v>
      </c>
      <c r="BJ220" s="55" t="s">
        <v>2261</v>
      </c>
      <c r="BK220" s="20" t="s">
        <v>2163</v>
      </c>
      <c r="BL220" s="20" t="s">
        <v>2163</v>
      </c>
      <c r="BN220" s="5"/>
    </row>
    <row r="221" spans="54:66">
      <c r="BB221" s="4" t="s">
        <v>990</v>
      </c>
      <c r="BC221" s="4" t="s">
        <v>989</v>
      </c>
      <c r="BD221" s="4" t="s">
        <v>986</v>
      </c>
      <c r="BI221" s="48">
        <v>217</v>
      </c>
      <c r="BJ221" s="55" t="s">
        <v>2313</v>
      </c>
      <c r="BK221" s="20" t="s">
        <v>2163</v>
      </c>
      <c r="BL221" s="20" t="s">
        <v>2163</v>
      </c>
      <c r="BN221" s="5"/>
    </row>
    <row r="222" spans="54:66">
      <c r="BB222" s="4" t="s">
        <v>987</v>
      </c>
      <c r="BC222" s="4" t="s">
        <v>986</v>
      </c>
      <c r="BD222" s="4" t="s">
        <v>986</v>
      </c>
      <c r="BI222" s="48">
        <v>218</v>
      </c>
      <c r="BJ222" s="55" t="s">
        <v>2163</v>
      </c>
      <c r="BK222" s="20" t="s">
        <v>2163</v>
      </c>
      <c r="BL222" s="20" t="s">
        <v>2163</v>
      </c>
      <c r="BN222" s="5"/>
    </row>
    <row r="223" spans="54:66">
      <c r="BB223" s="4" t="s">
        <v>988</v>
      </c>
      <c r="BC223" s="4" t="s">
        <v>986</v>
      </c>
      <c r="BD223" s="4" t="s">
        <v>986</v>
      </c>
      <c r="BI223" s="48">
        <v>219</v>
      </c>
      <c r="BJ223" s="55" t="s">
        <v>2333</v>
      </c>
      <c r="BK223" s="20" t="s">
        <v>2163</v>
      </c>
      <c r="BL223" s="20" t="s">
        <v>2163</v>
      </c>
      <c r="BN223" s="5"/>
    </row>
    <row r="224" spans="54:66">
      <c r="BB224" s="4" t="s">
        <v>992</v>
      </c>
      <c r="BC224" s="4" t="s">
        <v>991</v>
      </c>
      <c r="BD224" s="4" t="s">
        <v>986</v>
      </c>
      <c r="BI224" s="48">
        <v>220</v>
      </c>
      <c r="BJ224" s="55" t="s">
        <v>2334</v>
      </c>
      <c r="BK224" s="20" t="s">
        <v>2163</v>
      </c>
      <c r="BL224" s="20" t="s">
        <v>2163</v>
      </c>
      <c r="BN224" s="5"/>
    </row>
    <row r="225" spans="54:66">
      <c r="BB225" s="4" t="s">
        <v>1001</v>
      </c>
      <c r="BC225" s="4" t="s">
        <v>1000</v>
      </c>
      <c r="BD225" s="4" t="s">
        <v>1000</v>
      </c>
      <c r="BI225" s="48">
        <v>221</v>
      </c>
      <c r="BJ225" s="55" t="s">
        <v>2332</v>
      </c>
      <c r="BK225" s="20" t="s">
        <v>2163</v>
      </c>
      <c r="BL225" s="20" t="s">
        <v>2163</v>
      </c>
      <c r="BN225" s="5"/>
    </row>
    <row r="226" spans="54:66">
      <c r="BB226" s="4" t="s">
        <v>1002</v>
      </c>
      <c r="BC226" s="4" t="s">
        <v>1000</v>
      </c>
      <c r="BD226" s="4" t="s">
        <v>1000</v>
      </c>
      <c r="BI226" s="48">
        <v>222</v>
      </c>
      <c r="BJ226" s="55" t="s">
        <v>2311</v>
      </c>
      <c r="BK226" s="20" t="s">
        <v>2169</v>
      </c>
      <c r="BL226" s="20" t="s">
        <v>2174</v>
      </c>
      <c r="BN226" s="5"/>
    </row>
    <row r="227" spans="54:66">
      <c r="BB227" s="4" t="s">
        <v>1003</v>
      </c>
      <c r="BC227" s="4" t="s">
        <v>1000</v>
      </c>
      <c r="BD227" s="4" t="s">
        <v>1000</v>
      </c>
      <c r="BI227" s="48">
        <v>223</v>
      </c>
      <c r="BJ227" s="55" t="s">
        <v>2583</v>
      </c>
      <c r="BK227" s="20" t="s">
        <v>2169</v>
      </c>
      <c r="BL227" s="20" t="s">
        <v>2174</v>
      </c>
      <c r="BN227" s="5"/>
    </row>
    <row r="228" spans="54:66">
      <c r="BB228" s="4" t="s">
        <v>1016</v>
      </c>
      <c r="BC228" s="4" t="s">
        <v>1015</v>
      </c>
      <c r="BD228" s="4" t="s">
        <v>1011</v>
      </c>
      <c r="BI228" s="48">
        <v>224</v>
      </c>
      <c r="BJ228" s="55" t="s">
        <v>2294</v>
      </c>
      <c r="BK228" s="20" t="s">
        <v>2169</v>
      </c>
      <c r="BL228" s="20" t="s">
        <v>2174</v>
      </c>
      <c r="BN228" s="5"/>
    </row>
    <row r="229" spans="54:66">
      <c r="BB229" s="4" t="s">
        <v>1012</v>
      </c>
      <c r="BC229" s="4" t="s">
        <v>1011</v>
      </c>
      <c r="BD229" s="4" t="s">
        <v>1011</v>
      </c>
      <c r="BI229" s="48">
        <v>225</v>
      </c>
      <c r="BJ229" s="55" t="s">
        <v>2295</v>
      </c>
      <c r="BK229" s="20" t="s">
        <v>2169</v>
      </c>
      <c r="BL229" s="20" t="s">
        <v>2174</v>
      </c>
      <c r="BN229" s="5"/>
    </row>
    <row r="230" spans="54:66">
      <c r="BB230" s="4" t="s">
        <v>1013</v>
      </c>
      <c r="BC230" s="4" t="s">
        <v>1011</v>
      </c>
      <c r="BD230" s="4" t="s">
        <v>1011</v>
      </c>
      <c r="BI230" s="48">
        <v>226</v>
      </c>
      <c r="BJ230" s="55" t="s">
        <v>2567</v>
      </c>
      <c r="BK230" s="20" t="s">
        <v>2175</v>
      </c>
      <c r="BL230" s="20" t="s">
        <v>2179</v>
      </c>
      <c r="BN230" s="5"/>
    </row>
    <row r="231" spans="54:66">
      <c r="BB231" s="4" t="s">
        <v>1014</v>
      </c>
      <c r="BC231" s="4" t="s">
        <v>1011</v>
      </c>
      <c r="BD231" s="4" t="s">
        <v>1011</v>
      </c>
      <c r="BI231" s="48">
        <v>227</v>
      </c>
      <c r="BJ231" s="55" t="s">
        <v>2339</v>
      </c>
      <c r="BK231" s="20" t="s">
        <v>2163</v>
      </c>
      <c r="BL231" s="20" t="s">
        <v>2163</v>
      </c>
      <c r="BN231" s="5"/>
    </row>
    <row r="232" spans="54:66">
      <c r="BB232" s="4" t="s">
        <v>1029</v>
      </c>
      <c r="BC232" s="4" t="s">
        <v>1011</v>
      </c>
      <c r="BD232" s="4" t="s">
        <v>1011</v>
      </c>
      <c r="BI232" s="48">
        <v>228</v>
      </c>
      <c r="BJ232" s="55" t="s">
        <v>2660</v>
      </c>
      <c r="BK232" s="20" t="s">
        <v>33</v>
      </c>
      <c r="BL232" s="20" t="s">
        <v>2168</v>
      </c>
      <c r="BN232" s="5"/>
    </row>
    <row r="233" spans="54:66">
      <c r="BB233" s="4" t="s">
        <v>1747</v>
      </c>
      <c r="BC233" s="4" t="s">
        <v>1746</v>
      </c>
      <c r="BD233" s="4" t="s">
        <v>249</v>
      </c>
      <c r="BI233" s="48">
        <v>229</v>
      </c>
      <c r="BJ233" s="55" t="s">
        <v>2249</v>
      </c>
      <c r="BK233" s="20" t="s">
        <v>33</v>
      </c>
      <c r="BL233" s="20" t="s">
        <v>2168</v>
      </c>
      <c r="BN233" s="5"/>
    </row>
    <row r="234" spans="54:66">
      <c r="BB234" s="4" t="s">
        <v>1730</v>
      </c>
      <c r="BC234" s="4" t="s">
        <v>249</v>
      </c>
      <c r="BD234" s="4" t="s">
        <v>249</v>
      </c>
      <c r="BI234" s="48">
        <v>230</v>
      </c>
      <c r="BJ234" s="55" t="s">
        <v>2584</v>
      </c>
      <c r="BK234" s="20" t="s">
        <v>33</v>
      </c>
      <c r="BL234" s="20" t="s">
        <v>2168</v>
      </c>
      <c r="BN234" s="5"/>
    </row>
    <row r="235" spans="54:66">
      <c r="BB235" s="4" t="s">
        <v>1731</v>
      </c>
      <c r="BC235" s="4" t="s">
        <v>249</v>
      </c>
      <c r="BD235" s="4" t="s">
        <v>249</v>
      </c>
      <c r="BI235" s="48">
        <v>231</v>
      </c>
      <c r="BJ235" s="55" t="s">
        <v>2237</v>
      </c>
      <c r="BK235" s="20" t="s">
        <v>2163</v>
      </c>
      <c r="BL235" s="20" t="s">
        <v>2163</v>
      </c>
      <c r="BN235" s="5"/>
    </row>
    <row r="236" spans="54:66">
      <c r="BB236" s="4" t="s">
        <v>1063</v>
      </c>
      <c r="BC236" s="4" t="s">
        <v>249</v>
      </c>
      <c r="BD236" s="4" t="s">
        <v>249</v>
      </c>
      <c r="BI236" s="48">
        <v>232</v>
      </c>
      <c r="BJ236" s="55" t="s">
        <v>2236</v>
      </c>
      <c r="BK236" s="20" t="s">
        <v>2163</v>
      </c>
      <c r="BL236" s="20" t="s">
        <v>2163</v>
      </c>
      <c r="BN236" s="5"/>
    </row>
    <row r="237" spans="54:66">
      <c r="BB237" s="4" t="s">
        <v>1743</v>
      </c>
      <c r="BC237" s="4" t="s">
        <v>1742</v>
      </c>
      <c r="BD237" s="4" t="s">
        <v>249</v>
      </c>
      <c r="BI237" s="48">
        <v>233</v>
      </c>
      <c r="BJ237" s="55" t="s">
        <v>2297</v>
      </c>
      <c r="BK237" s="20" t="s">
        <v>2163</v>
      </c>
      <c r="BL237" s="20" t="s">
        <v>2163</v>
      </c>
      <c r="BN237" s="5"/>
    </row>
    <row r="238" spans="54:66">
      <c r="BB238" s="4" t="s">
        <v>1750</v>
      </c>
      <c r="BC238" s="4" t="s">
        <v>2005</v>
      </c>
      <c r="BD238" s="4" t="s">
        <v>249</v>
      </c>
      <c r="BI238" s="48">
        <v>234</v>
      </c>
      <c r="BJ238" s="55" t="s">
        <v>2620</v>
      </c>
      <c r="BK238" s="20" t="s">
        <v>2165</v>
      </c>
      <c r="BL238" s="20" t="s">
        <v>2166</v>
      </c>
      <c r="BN238" s="5"/>
    </row>
    <row r="239" spans="54:66">
      <c r="BB239" s="4" t="s">
        <v>1733</v>
      </c>
      <c r="BC239" s="4" t="s">
        <v>1732</v>
      </c>
      <c r="BD239" s="4" t="s">
        <v>249</v>
      </c>
      <c r="BI239" s="48">
        <v>235</v>
      </c>
      <c r="BJ239" s="55" t="s">
        <v>2621</v>
      </c>
      <c r="BK239" s="20" t="s">
        <v>2165</v>
      </c>
      <c r="BL239" s="20" t="s">
        <v>2166</v>
      </c>
      <c r="BN239" s="5"/>
    </row>
    <row r="240" spans="54:66">
      <c r="BB240" s="4" t="s">
        <v>1749</v>
      </c>
      <c r="BC240" s="4" t="s">
        <v>1748</v>
      </c>
      <c r="BD240" s="4" t="s">
        <v>249</v>
      </c>
      <c r="BI240" s="48">
        <v>236</v>
      </c>
      <c r="BJ240" s="55" t="s">
        <v>2622</v>
      </c>
      <c r="BK240" s="20" t="s">
        <v>2165</v>
      </c>
      <c r="BL240" s="20" t="s">
        <v>2166</v>
      </c>
      <c r="BN240" s="5"/>
    </row>
    <row r="241" spans="54:66">
      <c r="BB241" s="4" t="s">
        <v>1735</v>
      </c>
      <c r="BC241" s="4" t="s">
        <v>1734</v>
      </c>
      <c r="BD241" s="4" t="s">
        <v>249</v>
      </c>
      <c r="BI241" s="48">
        <v>237</v>
      </c>
      <c r="BJ241" s="55" t="s">
        <v>2623</v>
      </c>
      <c r="BK241" s="20" t="s">
        <v>2165</v>
      </c>
      <c r="BL241" s="20" t="s">
        <v>2166</v>
      </c>
      <c r="BN241" s="5"/>
    </row>
    <row r="242" spans="54:66">
      <c r="BB242" s="4" t="s">
        <v>1739</v>
      </c>
      <c r="BC242" s="4" t="s">
        <v>1738</v>
      </c>
      <c r="BD242" s="4" t="s">
        <v>249</v>
      </c>
      <c r="BI242" s="48">
        <v>238</v>
      </c>
      <c r="BJ242" s="55" t="s">
        <v>2235</v>
      </c>
      <c r="BK242" s="20" t="s">
        <v>2165</v>
      </c>
      <c r="BL242" s="20" t="s">
        <v>2166</v>
      </c>
      <c r="BN242" s="5"/>
    </row>
    <row r="243" spans="54:66">
      <c r="BB243" s="4" t="s">
        <v>1745</v>
      </c>
      <c r="BC243" s="4" t="s">
        <v>1744</v>
      </c>
      <c r="BD243" s="4" t="s">
        <v>249</v>
      </c>
      <c r="BI243" s="48">
        <v>239</v>
      </c>
      <c r="BJ243" s="55" t="s">
        <v>2289</v>
      </c>
      <c r="BK243" s="20" t="s">
        <v>2169</v>
      </c>
      <c r="BL243" s="20" t="s">
        <v>2174</v>
      </c>
      <c r="BN243" s="5"/>
    </row>
    <row r="244" spans="54:66">
      <c r="BB244" s="4" t="s">
        <v>1741</v>
      </c>
      <c r="BC244" s="4" t="s">
        <v>1740</v>
      </c>
      <c r="BD244" s="4" t="s">
        <v>249</v>
      </c>
      <c r="BI244" s="48">
        <v>240</v>
      </c>
      <c r="BJ244" s="55" t="s">
        <v>2585</v>
      </c>
      <c r="BK244" s="20" t="s">
        <v>2169</v>
      </c>
      <c r="BL244" s="20" t="s">
        <v>2174</v>
      </c>
      <c r="BN244" s="5"/>
    </row>
    <row r="245" spans="54:66">
      <c r="BB245" s="4" t="s">
        <v>1737</v>
      </c>
      <c r="BC245" s="4" t="s">
        <v>1736</v>
      </c>
      <c r="BD245" s="4" t="s">
        <v>249</v>
      </c>
      <c r="BI245" s="48">
        <v>241</v>
      </c>
      <c r="BJ245" s="55" t="s">
        <v>2290</v>
      </c>
      <c r="BK245" s="20" t="s">
        <v>2159</v>
      </c>
      <c r="BL245" s="20" t="s">
        <v>2162</v>
      </c>
      <c r="BN245" s="5"/>
    </row>
    <row r="246" spans="54:66">
      <c r="BB246" s="4" t="s">
        <v>1716</v>
      </c>
      <c r="BC246" s="4" t="s">
        <v>1715</v>
      </c>
      <c r="BD246" s="4" t="s">
        <v>1715</v>
      </c>
      <c r="BI246" s="48">
        <v>242</v>
      </c>
      <c r="BJ246" s="55" t="s">
        <v>2291</v>
      </c>
      <c r="BK246" s="20" t="s">
        <v>2169</v>
      </c>
      <c r="BL246" s="20" t="s">
        <v>2174</v>
      </c>
      <c r="BN246" s="5"/>
    </row>
    <row r="247" spans="54:66">
      <c r="BB247" s="4" t="s">
        <v>1717</v>
      </c>
      <c r="BC247" s="4" t="s">
        <v>1715</v>
      </c>
      <c r="BD247" s="4" t="s">
        <v>1715</v>
      </c>
      <c r="BI247" s="48">
        <v>243</v>
      </c>
      <c r="BJ247" s="55" t="s">
        <v>2275</v>
      </c>
      <c r="BK247" s="20" t="s">
        <v>2159</v>
      </c>
      <c r="BL247" s="20" t="s">
        <v>2161</v>
      </c>
      <c r="BN247" s="5"/>
    </row>
    <row r="248" spans="54:66">
      <c r="BB248" s="4" t="s">
        <v>1057</v>
      </c>
      <c r="BC248" s="4" t="s">
        <v>1715</v>
      </c>
      <c r="BD248" s="4" t="s">
        <v>1715</v>
      </c>
      <c r="BI248" s="48">
        <v>244</v>
      </c>
      <c r="BJ248" s="55" t="s">
        <v>2276</v>
      </c>
      <c r="BK248" s="20" t="s">
        <v>2163</v>
      </c>
      <c r="BL248" s="20" t="s">
        <v>2163</v>
      </c>
      <c r="BN248" s="5"/>
    </row>
    <row r="249" spans="54:66">
      <c r="BB249" s="4" t="s">
        <v>1723</v>
      </c>
      <c r="BC249" s="4" t="s">
        <v>1722</v>
      </c>
      <c r="BD249" s="4" t="s">
        <v>1715</v>
      </c>
      <c r="BI249" s="48">
        <v>245</v>
      </c>
      <c r="BJ249" s="55" t="s">
        <v>2241</v>
      </c>
      <c r="BK249" s="20" t="s">
        <v>33</v>
      </c>
      <c r="BL249" s="20" t="s">
        <v>2168</v>
      </c>
      <c r="BN249" s="5"/>
    </row>
    <row r="250" spans="54:66">
      <c r="BB250" s="4" t="s">
        <v>1719</v>
      </c>
      <c r="BC250" s="4" t="s">
        <v>1718</v>
      </c>
      <c r="BD250" s="4" t="s">
        <v>1715</v>
      </c>
      <c r="BI250" s="48">
        <v>246</v>
      </c>
      <c r="BJ250" s="55" t="s">
        <v>2239</v>
      </c>
      <c r="BK250" s="20" t="s">
        <v>33</v>
      </c>
      <c r="BL250" s="20" t="s">
        <v>2168</v>
      </c>
      <c r="BN250" s="5"/>
    </row>
    <row r="251" spans="54:66">
      <c r="BB251" s="4" t="s">
        <v>1725</v>
      </c>
      <c r="BC251" s="4" t="s">
        <v>1724</v>
      </c>
      <c r="BD251" s="4" t="s">
        <v>1715</v>
      </c>
      <c r="BI251" s="48">
        <v>247</v>
      </c>
      <c r="BJ251" s="55" t="s">
        <v>2240</v>
      </c>
      <c r="BK251" s="20" t="s">
        <v>33</v>
      </c>
      <c r="BL251" s="20" t="s">
        <v>2168</v>
      </c>
      <c r="BN251" s="5"/>
    </row>
    <row r="252" spans="54:66">
      <c r="BB252" s="4" t="s">
        <v>1721</v>
      </c>
      <c r="BC252" s="4" t="s">
        <v>1720</v>
      </c>
      <c r="BD252" s="4" t="s">
        <v>1715</v>
      </c>
      <c r="BI252" s="48">
        <v>248</v>
      </c>
      <c r="BJ252" s="55" t="s">
        <v>2316</v>
      </c>
      <c r="BK252" s="20" t="s">
        <v>2163</v>
      </c>
      <c r="BL252" s="20" t="s">
        <v>2163</v>
      </c>
      <c r="BN252" s="5"/>
    </row>
    <row r="253" spans="54:66">
      <c r="BB253" s="4" t="s">
        <v>1729</v>
      </c>
      <c r="BC253" s="4" t="s">
        <v>1728</v>
      </c>
      <c r="BD253" s="4" t="s">
        <v>1715</v>
      </c>
      <c r="BI253" s="48">
        <v>249</v>
      </c>
      <c r="BJ253" s="55" t="s">
        <v>2317</v>
      </c>
      <c r="BK253" s="20" t="s">
        <v>2163</v>
      </c>
      <c r="BL253" s="20" t="s">
        <v>2163</v>
      </c>
      <c r="BN253" s="5"/>
    </row>
    <row r="254" spans="54:66">
      <c r="BB254" s="4" t="s">
        <v>1727</v>
      </c>
      <c r="BC254" s="4" t="s">
        <v>1726</v>
      </c>
      <c r="BD254" s="4" t="s">
        <v>1715</v>
      </c>
      <c r="BI254" s="48">
        <v>250</v>
      </c>
      <c r="BJ254" s="55" t="s">
        <v>2315</v>
      </c>
      <c r="BK254" s="20" t="s">
        <v>2163</v>
      </c>
      <c r="BL254" s="20" t="s">
        <v>2163</v>
      </c>
      <c r="BN254" s="5"/>
    </row>
    <row r="255" spans="54:66">
      <c r="BB255" s="4" t="s">
        <v>1957</v>
      </c>
      <c r="BC255" s="4" t="s">
        <v>1956</v>
      </c>
      <c r="BD255" s="4" t="s">
        <v>1952</v>
      </c>
      <c r="BI255" s="48">
        <v>251</v>
      </c>
      <c r="BJ255" s="55" t="s">
        <v>2598</v>
      </c>
      <c r="BK255" s="20" t="s">
        <v>2159</v>
      </c>
      <c r="BL255" s="20" t="s">
        <v>2161</v>
      </c>
      <c r="BN255" s="5"/>
    </row>
    <row r="256" spans="54:66">
      <c r="BB256" s="4" t="s">
        <v>1967</v>
      </c>
      <c r="BC256" s="4" t="s">
        <v>1966</v>
      </c>
      <c r="BD256" s="4" t="s">
        <v>1952</v>
      </c>
      <c r="BI256" s="48">
        <v>252</v>
      </c>
      <c r="BJ256" s="55" t="s">
        <v>2346</v>
      </c>
      <c r="BK256" s="20" t="s">
        <v>2163</v>
      </c>
      <c r="BL256" s="20" t="s">
        <v>2163</v>
      </c>
      <c r="BN256" s="5"/>
    </row>
    <row r="257" spans="54:66">
      <c r="BB257" s="4" t="s">
        <v>1953</v>
      </c>
      <c r="BC257" s="4" t="s">
        <v>1952</v>
      </c>
      <c r="BD257" s="4" t="s">
        <v>1952</v>
      </c>
      <c r="BI257" s="48">
        <v>253</v>
      </c>
      <c r="BJ257" s="55" t="s">
        <v>2248</v>
      </c>
      <c r="BK257" s="20" t="s">
        <v>2163</v>
      </c>
      <c r="BL257" s="20" t="s">
        <v>2163</v>
      </c>
      <c r="BN257" s="5"/>
    </row>
    <row r="258" spans="54:66">
      <c r="BB258" s="4" t="s">
        <v>1954</v>
      </c>
      <c r="BC258" s="4" t="s">
        <v>1952</v>
      </c>
      <c r="BD258" s="4" t="s">
        <v>1952</v>
      </c>
      <c r="BI258" s="48">
        <v>254</v>
      </c>
      <c r="BJ258" s="55" t="s">
        <v>2324</v>
      </c>
      <c r="BK258" s="20" t="s">
        <v>2163</v>
      </c>
      <c r="BL258" s="20" t="s">
        <v>2163</v>
      </c>
      <c r="BN258" s="5"/>
    </row>
    <row r="259" spans="54:66">
      <c r="BB259" s="4" t="s">
        <v>1955</v>
      </c>
      <c r="BC259" s="4" t="s">
        <v>1952</v>
      </c>
      <c r="BD259" s="4" t="s">
        <v>1952</v>
      </c>
      <c r="BI259" s="48">
        <v>255</v>
      </c>
      <c r="BJ259" s="55" t="s">
        <v>2367</v>
      </c>
      <c r="BK259" s="20" t="s">
        <v>2163</v>
      </c>
      <c r="BL259" s="20" t="s">
        <v>2163</v>
      </c>
      <c r="BN259" s="5"/>
    </row>
    <row r="260" spans="54:66">
      <c r="BB260" s="4" t="s">
        <v>1959</v>
      </c>
      <c r="BC260" s="4" t="s">
        <v>1958</v>
      </c>
      <c r="BD260" s="4" t="s">
        <v>1952</v>
      </c>
      <c r="BI260" s="48">
        <v>256</v>
      </c>
      <c r="BJ260" s="55" t="s">
        <v>2367</v>
      </c>
      <c r="BK260" s="20" t="s">
        <v>2175</v>
      </c>
      <c r="BL260" s="20" t="s">
        <v>2176</v>
      </c>
      <c r="BN260" s="5"/>
    </row>
    <row r="261" spans="54:66">
      <c r="BB261" s="4" t="s">
        <v>1965</v>
      </c>
      <c r="BC261" s="4" t="s">
        <v>1964</v>
      </c>
      <c r="BD261" s="4" t="s">
        <v>1952</v>
      </c>
      <c r="BI261" s="48">
        <v>257</v>
      </c>
      <c r="BJ261" s="55" t="s">
        <v>2312</v>
      </c>
      <c r="BK261" s="20" t="s">
        <v>2169</v>
      </c>
      <c r="BL261" s="20" t="s">
        <v>2174</v>
      </c>
      <c r="BN261" s="5"/>
    </row>
    <row r="262" spans="54:66">
      <c r="BB262" s="4" t="s">
        <v>1961</v>
      </c>
      <c r="BC262" s="4" t="s">
        <v>1960</v>
      </c>
      <c r="BD262" s="4" t="s">
        <v>1952</v>
      </c>
      <c r="BI262" s="48">
        <v>258</v>
      </c>
      <c r="BJ262" s="55" t="s">
        <v>2171</v>
      </c>
      <c r="BK262" s="20" t="s">
        <v>2169</v>
      </c>
      <c r="BL262" s="20" t="s">
        <v>2171</v>
      </c>
      <c r="BN262" s="5"/>
    </row>
    <row r="263" spans="54:66">
      <c r="BB263" s="4" t="s">
        <v>1963</v>
      </c>
      <c r="BC263" s="4" t="s">
        <v>1962</v>
      </c>
      <c r="BD263" s="4" t="s">
        <v>1952</v>
      </c>
      <c r="BI263" s="48">
        <v>259</v>
      </c>
      <c r="BJ263" s="55" t="s">
        <v>2520</v>
      </c>
      <c r="BK263" s="20" t="s">
        <v>2169</v>
      </c>
      <c r="BL263" s="20" t="s">
        <v>2171</v>
      </c>
    </row>
    <row r="264" spans="54:66">
      <c r="BB264" s="4" t="s">
        <v>734</v>
      </c>
      <c r="BC264" s="4" t="s">
        <v>733</v>
      </c>
      <c r="BD264" s="4" t="s">
        <v>1971</v>
      </c>
      <c r="BI264" s="48">
        <v>260</v>
      </c>
      <c r="BJ264" s="55" t="s">
        <v>2521</v>
      </c>
      <c r="BK264" s="20" t="s">
        <v>2169</v>
      </c>
      <c r="BL264" s="20" t="s">
        <v>2171</v>
      </c>
    </row>
    <row r="265" spans="54:66">
      <c r="BB265" s="4" t="s">
        <v>712</v>
      </c>
      <c r="BC265" s="4" t="s">
        <v>711</v>
      </c>
      <c r="BD265" s="4" t="s">
        <v>717</v>
      </c>
      <c r="BI265" s="48">
        <v>261</v>
      </c>
      <c r="BJ265" s="55" t="s">
        <v>2522</v>
      </c>
      <c r="BK265" s="20" t="s">
        <v>2169</v>
      </c>
      <c r="BL265" s="20" t="s">
        <v>2558</v>
      </c>
    </row>
    <row r="266" spans="54:66">
      <c r="BB266" s="4" t="s">
        <v>713</v>
      </c>
      <c r="BC266" s="4" t="s">
        <v>711</v>
      </c>
      <c r="BD266" s="4" t="s">
        <v>717</v>
      </c>
      <c r="BI266" s="48">
        <v>262</v>
      </c>
      <c r="BJ266" s="55" t="s">
        <v>2599</v>
      </c>
      <c r="BK266" s="20" t="s">
        <v>2169</v>
      </c>
      <c r="BL266" s="20" t="s">
        <v>2558</v>
      </c>
    </row>
    <row r="267" spans="54:66">
      <c r="BB267" s="4" t="s">
        <v>716</v>
      </c>
      <c r="BC267" s="4" t="s">
        <v>715</v>
      </c>
      <c r="BD267" s="4" t="s">
        <v>717</v>
      </c>
      <c r="BI267" s="48">
        <v>263</v>
      </c>
      <c r="BJ267" s="55" t="s">
        <v>2523</v>
      </c>
      <c r="BK267" s="20" t="s">
        <v>2169</v>
      </c>
      <c r="BL267" s="20" t="s">
        <v>2171</v>
      </c>
    </row>
    <row r="268" spans="54:66">
      <c r="BB268" s="4" t="s">
        <v>714</v>
      </c>
      <c r="BC268" s="4" t="s">
        <v>717</v>
      </c>
      <c r="BD268" s="4" t="s">
        <v>717</v>
      </c>
      <c r="BI268" s="48">
        <v>264</v>
      </c>
      <c r="BJ268" s="55" t="s">
        <v>2378</v>
      </c>
      <c r="BK268" s="20" t="s">
        <v>2169</v>
      </c>
      <c r="BL268" s="20" t="s">
        <v>2192</v>
      </c>
    </row>
    <row r="269" spans="54:66">
      <c r="BB269" s="4" t="s">
        <v>729</v>
      </c>
      <c r="BC269" s="4" t="s">
        <v>728</v>
      </c>
      <c r="BD269" s="4" t="s">
        <v>718</v>
      </c>
      <c r="BI269" s="48">
        <v>265</v>
      </c>
      <c r="BJ269" s="55" t="s">
        <v>2387</v>
      </c>
      <c r="BK269" s="20" t="s">
        <v>2169</v>
      </c>
      <c r="BL269" s="20" t="s">
        <v>2192</v>
      </c>
    </row>
    <row r="270" spans="54:66">
      <c r="BB270" s="4" t="s">
        <v>727</v>
      </c>
      <c r="BC270" s="4" t="s">
        <v>726</v>
      </c>
      <c r="BD270" s="4" t="s">
        <v>718</v>
      </c>
      <c r="BI270" s="48">
        <v>266</v>
      </c>
      <c r="BJ270" s="55" t="s">
        <v>2600</v>
      </c>
      <c r="BK270" s="20" t="s">
        <v>2169</v>
      </c>
      <c r="BL270" s="20" t="s">
        <v>2171</v>
      </c>
    </row>
    <row r="271" spans="54:66">
      <c r="BB271" s="4" t="s">
        <v>725</v>
      </c>
      <c r="BC271" s="4" t="s">
        <v>724</v>
      </c>
      <c r="BD271" s="4" t="s">
        <v>718</v>
      </c>
      <c r="BI271" s="48">
        <v>267</v>
      </c>
      <c r="BJ271" s="55" t="s">
        <v>2267</v>
      </c>
      <c r="BK271" s="20" t="s">
        <v>2169</v>
      </c>
      <c r="BL271" s="20" t="s">
        <v>2171</v>
      </c>
    </row>
    <row r="272" spans="54:66">
      <c r="BB272" s="4" t="s">
        <v>731</v>
      </c>
      <c r="BC272" s="4" t="s">
        <v>730</v>
      </c>
      <c r="BD272" s="4" t="s">
        <v>718</v>
      </c>
      <c r="BI272" s="48">
        <v>268</v>
      </c>
      <c r="BJ272" s="55" t="s">
        <v>2601</v>
      </c>
      <c r="BK272" s="20" t="s">
        <v>2169</v>
      </c>
      <c r="BL272" s="20" t="s">
        <v>2171</v>
      </c>
    </row>
    <row r="273" spans="54:64">
      <c r="BB273" s="4" t="s">
        <v>719</v>
      </c>
      <c r="BC273" s="4" t="s">
        <v>718</v>
      </c>
      <c r="BD273" s="4" t="s">
        <v>718</v>
      </c>
      <c r="BI273" s="48">
        <v>269</v>
      </c>
      <c r="BJ273" s="55" t="s">
        <v>2586</v>
      </c>
      <c r="BK273" s="20" t="s">
        <v>2159</v>
      </c>
      <c r="BL273" s="20" t="s">
        <v>2160</v>
      </c>
    </row>
    <row r="274" spans="54:64">
      <c r="BB274" s="4" t="s">
        <v>720</v>
      </c>
      <c r="BC274" s="4" t="s">
        <v>718</v>
      </c>
      <c r="BD274" s="4" t="s">
        <v>718</v>
      </c>
      <c r="BI274" s="48">
        <v>270</v>
      </c>
      <c r="BJ274" s="55" t="s">
        <v>2587</v>
      </c>
      <c r="BK274" s="20" t="s">
        <v>2169</v>
      </c>
      <c r="BL274" s="20" t="s">
        <v>2171</v>
      </c>
    </row>
    <row r="275" spans="54:64">
      <c r="BB275" s="4" t="s">
        <v>721</v>
      </c>
      <c r="BC275" s="4" t="s">
        <v>718</v>
      </c>
      <c r="BD275" s="4" t="s">
        <v>718</v>
      </c>
      <c r="BI275" s="48">
        <v>271</v>
      </c>
      <c r="BJ275" s="55" t="s">
        <v>2588</v>
      </c>
      <c r="BK275" s="20" t="s">
        <v>2169</v>
      </c>
      <c r="BL275" s="20" t="s">
        <v>2171</v>
      </c>
    </row>
    <row r="276" spans="54:64">
      <c r="BB276" s="4" t="s">
        <v>722</v>
      </c>
      <c r="BC276" s="4" t="s">
        <v>718</v>
      </c>
      <c r="BD276" s="4" t="s">
        <v>718</v>
      </c>
      <c r="BI276" s="48">
        <v>272</v>
      </c>
      <c r="BJ276" s="55" t="s">
        <v>2624</v>
      </c>
      <c r="BK276" s="20" t="s">
        <v>2169</v>
      </c>
      <c r="BL276" s="20" t="s">
        <v>2192</v>
      </c>
    </row>
    <row r="277" spans="54:64">
      <c r="BB277" s="4" t="s">
        <v>723</v>
      </c>
      <c r="BC277" s="4" t="s">
        <v>718</v>
      </c>
      <c r="BD277" s="4" t="s">
        <v>718</v>
      </c>
      <c r="BI277" s="48">
        <v>273</v>
      </c>
      <c r="BJ277" s="55" t="s">
        <v>2392</v>
      </c>
      <c r="BK277" s="20" t="s">
        <v>2169</v>
      </c>
      <c r="BL277" s="20" t="s">
        <v>2191</v>
      </c>
    </row>
    <row r="278" spans="54:64">
      <c r="BB278" s="4" t="s">
        <v>732</v>
      </c>
      <c r="BC278" s="4" t="s">
        <v>718</v>
      </c>
      <c r="BD278" s="4" t="s">
        <v>718</v>
      </c>
      <c r="BI278" s="48">
        <v>274</v>
      </c>
      <c r="BJ278" s="55" t="s">
        <v>2393</v>
      </c>
      <c r="BK278" s="20" t="s">
        <v>2169</v>
      </c>
      <c r="BL278" s="20" t="s">
        <v>2191</v>
      </c>
    </row>
    <row r="279" spans="54:64">
      <c r="BB279" s="4" t="s">
        <v>2006</v>
      </c>
      <c r="BC279" s="4" t="s">
        <v>718</v>
      </c>
      <c r="BD279" s="4" t="s">
        <v>718</v>
      </c>
      <c r="BI279" s="48">
        <v>275</v>
      </c>
      <c r="BJ279" s="55" t="s">
        <v>2589</v>
      </c>
      <c r="BK279" s="20" t="s">
        <v>2163</v>
      </c>
      <c r="BL279" s="20" t="s">
        <v>2163</v>
      </c>
    </row>
    <row r="280" spans="54:64">
      <c r="BB280" s="4" t="s">
        <v>1374</v>
      </c>
      <c r="BC280" s="4" t="s">
        <v>718</v>
      </c>
      <c r="BD280" s="4" t="s">
        <v>718</v>
      </c>
      <c r="BI280" s="48">
        <v>276</v>
      </c>
      <c r="BJ280" s="55" t="s">
        <v>2271</v>
      </c>
      <c r="BK280" s="20" t="s">
        <v>2163</v>
      </c>
      <c r="BL280" s="20" t="s">
        <v>2163</v>
      </c>
    </row>
    <row r="281" spans="54:64">
      <c r="BB281" s="4" t="s">
        <v>2048</v>
      </c>
      <c r="BC281" s="4" t="s">
        <v>1331</v>
      </c>
      <c r="BD281" s="4" t="s">
        <v>377</v>
      </c>
      <c r="BI281" s="48">
        <v>277</v>
      </c>
      <c r="BJ281" s="55" t="s">
        <v>2251</v>
      </c>
      <c r="BK281" s="20" t="s">
        <v>2159</v>
      </c>
      <c r="BL281" s="20" t="s">
        <v>2161</v>
      </c>
    </row>
    <row r="282" spans="54:64">
      <c r="BB282" s="4" t="s">
        <v>1322</v>
      </c>
      <c r="BC282" s="4" t="s">
        <v>377</v>
      </c>
      <c r="BD282" s="4" t="s">
        <v>377</v>
      </c>
      <c r="BI282" s="48">
        <v>278</v>
      </c>
      <c r="BJ282" s="55" t="s">
        <v>2252</v>
      </c>
      <c r="BK282" s="20" t="s">
        <v>2159</v>
      </c>
      <c r="BL282" s="20" t="s">
        <v>2161</v>
      </c>
    </row>
    <row r="283" spans="54:64">
      <c r="BB283" s="4" t="s">
        <v>1323</v>
      </c>
      <c r="BC283" s="4" t="s">
        <v>377</v>
      </c>
      <c r="BD283" s="4" t="s">
        <v>377</v>
      </c>
      <c r="BI283" s="48">
        <v>279</v>
      </c>
      <c r="BJ283" s="55" t="s">
        <v>2250</v>
      </c>
      <c r="BK283" s="20" t="s">
        <v>2163</v>
      </c>
      <c r="BL283" s="20" t="s">
        <v>2161</v>
      </c>
    </row>
    <row r="284" spans="54:64">
      <c r="BB284" s="4" t="s">
        <v>1324</v>
      </c>
      <c r="BC284" s="4" t="s">
        <v>377</v>
      </c>
      <c r="BD284" s="4" t="s">
        <v>377</v>
      </c>
      <c r="BI284" s="48">
        <v>280</v>
      </c>
      <c r="BJ284" s="55" t="s">
        <v>2321</v>
      </c>
      <c r="BK284" s="20" t="s">
        <v>2163</v>
      </c>
      <c r="BL284" s="20" t="s">
        <v>2163</v>
      </c>
    </row>
    <row r="285" spans="54:64">
      <c r="BB285" s="4" t="s">
        <v>1325</v>
      </c>
      <c r="BC285" s="4" t="s">
        <v>377</v>
      </c>
      <c r="BD285" s="4" t="s">
        <v>377</v>
      </c>
      <c r="BI285" s="48">
        <v>281</v>
      </c>
      <c r="BJ285" s="55" t="s">
        <v>2195</v>
      </c>
      <c r="BK285" s="20" t="s">
        <v>2193</v>
      </c>
      <c r="BL285" s="20" t="s">
        <v>2194</v>
      </c>
    </row>
    <row r="286" spans="54:64">
      <c r="BB286" s="4" t="s">
        <v>1326</v>
      </c>
      <c r="BC286" s="4" t="s">
        <v>377</v>
      </c>
      <c r="BD286" s="4" t="s">
        <v>377</v>
      </c>
      <c r="BI286" s="48">
        <v>282</v>
      </c>
      <c r="BJ286" s="55" t="s">
        <v>2244</v>
      </c>
      <c r="BK286" s="20" t="s">
        <v>2163</v>
      </c>
      <c r="BL286" s="20" t="s">
        <v>2163</v>
      </c>
    </row>
    <row r="287" spans="54:64">
      <c r="BB287" s="4" t="s">
        <v>2049</v>
      </c>
      <c r="BC287" s="4" t="s">
        <v>377</v>
      </c>
      <c r="BD287" s="4" t="s">
        <v>377</v>
      </c>
      <c r="BI287" s="48">
        <v>283</v>
      </c>
      <c r="BJ287" s="55" t="s">
        <v>2495</v>
      </c>
      <c r="BK287" s="20" t="s">
        <v>2163</v>
      </c>
      <c r="BL287" s="20" t="s">
        <v>2163</v>
      </c>
    </row>
    <row r="288" spans="54:64">
      <c r="BB288" s="4" t="s">
        <v>1330</v>
      </c>
      <c r="BC288" s="4" t="s">
        <v>1329</v>
      </c>
      <c r="BD288" s="4" t="s">
        <v>377</v>
      </c>
      <c r="BI288" s="48">
        <v>284</v>
      </c>
      <c r="BJ288" s="55" t="s">
        <v>2384</v>
      </c>
      <c r="BK288" s="20" t="s">
        <v>2163</v>
      </c>
      <c r="BL288" s="20" t="s">
        <v>2163</v>
      </c>
    </row>
    <row r="289" spans="54:64">
      <c r="BB289" s="4" t="s">
        <v>1328</v>
      </c>
      <c r="BC289" s="4" t="s">
        <v>1327</v>
      </c>
      <c r="BD289" s="4" t="s">
        <v>377</v>
      </c>
      <c r="BI289" s="48">
        <v>285</v>
      </c>
      <c r="BJ289" s="55" t="s">
        <v>2343</v>
      </c>
      <c r="BK289" s="20" t="s">
        <v>2183</v>
      </c>
      <c r="BL289" s="20" t="s">
        <v>2186</v>
      </c>
    </row>
    <row r="290" spans="54:64">
      <c r="BB290" s="4" t="s">
        <v>589</v>
      </c>
      <c r="BC290" s="4" t="s">
        <v>588</v>
      </c>
      <c r="BD290" s="4" t="s">
        <v>579</v>
      </c>
      <c r="BI290" s="48">
        <v>286</v>
      </c>
      <c r="BJ290" s="55" t="s">
        <v>2331</v>
      </c>
      <c r="BK290" s="20" t="s">
        <v>2163</v>
      </c>
      <c r="BL290" s="20" t="s">
        <v>2163</v>
      </c>
    </row>
    <row r="291" spans="54:64">
      <c r="BB291" s="4" t="s">
        <v>580</v>
      </c>
      <c r="BC291" s="4" t="s">
        <v>579</v>
      </c>
      <c r="BD291" s="4" t="s">
        <v>579</v>
      </c>
      <c r="BI291" s="48">
        <v>287</v>
      </c>
      <c r="BJ291" s="55" t="s">
        <v>2661</v>
      </c>
      <c r="BK291" s="20" t="s">
        <v>2159</v>
      </c>
      <c r="BL291" s="20" t="s">
        <v>2161</v>
      </c>
    </row>
    <row r="292" spans="54:64">
      <c r="BB292" s="4" t="s">
        <v>581</v>
      </c>
      <c r="BC292" s="4" t="s">
        <v>579</v>
      </c>
      <c r="BD292" s="4" t="s">
        <v>579</v>
      </c>
      <c r="BI292" s="48">
        <v>288</v>
      </c>
      <c r="BJ292" s="55" t="s">
        <v>2374</v>
      </c>
      <c r="BK292" s="20" t="s">
        <v>2159</v>
      </c>
      <c r="BL292" s="20" t="s">
        <v>2161</v>
      </c>
    </row>
    <row r="293" spans="54:64">
      <c r="BB293" s="4" t="s">
        <v>590</v>
      </c>
      <c r="BC293" s="4" t="s">
        <v>579</v>
      </c>
      <c r="BD293" s="4" t="s">
        <v>579</v>
      </c>
      <c r="BI293" s="48">
        <v>289</v>
      </c>
      <c r="BJ293" s="55" t="s">
        <v>2246</v>
      </c>
      <c r="BK293" s="20" t="s">
        <v>2163</v>
      </c>
      <c r="BL293" s="20" t="s">
        <v>2163</v>
      </c>
    </row>
    <row r="294" spans="54:64">
      <c r="BB294" s="4" t="s">
        <v>585</v>
      </c>
      <c r="BC294" s="4" t="s">
        <v>584</v>
      </c>
      <c r="BD294" s="4" t="s">
        <v>579</v>
      </c>
      <c r="BI294" s="48">
        <v>290</v>
      </c>
      <c r="BJ294" s="55" t="s">
        <v>2590</v>
      </c>
      <c r="BK294" s="20" t="s">
        <v>2163</v>
      </c>
      <c r="BL294" s="20" t="s">
        <v>2163</v>
      </c>
    </row>
    <row r="295" spans="54:64">
      <c r="BB295" s="4" t="s">
        <v>587</v>
      </c>
      <c r="BC295" s="4" t="s">
        <v>586</v>
      </c>
      <c r="BD295" s="4" t="s">
        <v>579</v>
      </c>
      <c r="BI295" s="48">
        <v>291</v>
      </c>
      <c r="BJ295" s="55" t="s">
        <v>2247</v>
      </c>
      <c r="BK295" s="20" t="s">
        <v>2163</v>
      </c>
      <c r="BL295" s="20" t="s">
        <v>2163</v>
      </c>
    </row>
    <row r="296" spans="54:64">
      <c r="BB296" s="4" t="s">
        <v>625</v>
      </c>
      <c r="BC296" s="4" t="s">
        <v>624</v>
      </c>
      <c r="BD296" s="4" t="s">
        <v>622</v>
      </c>
      <c r="BI296" s="48">
        <v>292</v>
      </c>
      <c r="BJ296" s="55" t="s">
        <v>2245</v>
      </c>
      <c r="BK296" s="20" t="s">
        <v>2163</v>
      </c>
      <c r="BL296" s="20" t="s">
        <v>2163</v>
      </c>
    </row>
    <row r="297" spans="54:64">
      <c r="BB297" s="4" t="s">
        <v>621</v>
      </c>
      <c r="BC297" s="4" t="s">
        <v>620</v>
      </c>
      <c r="BD297" s="4" t="s">
        <v>622</v>
      </c>
      <c r="BI297" s="48">
        <v>293</v>
      </c>
      <c r="BJ297" s="55" t="s">
        <v>2619</v>
      </c>
      <c r="BK297" s="20" t="s">
        <v>33</v>
      </c>
      <c r="BL297" s="20" t="s">
        <v>2168</v>
      </c>
    </row>
    <row r="298" spans="54:64">
      <c r="BB298" s="4" t="s">
        <v>623</v>
      </c>
      <c r="BC298" s="4" t="s">
        <v>620</v>
      </c>
      <c r="BD298" s="4" t="s">
        <v>622</v>
      </c>
      <c r="BI298" s="48">
        <v>294</v>
      </c>
      <c r="BJ298" s="55" t="s">
        <v>2260</v>
      </c>
      <c r="BK298" s="20" t="s">
        <v>2163</v>
      </c>
      <c r="BL298" s="20" t="s">
        <v>2163</v>
      </c>
    </row>
    <row r="299" spans="54:64">
      <c r="BB299" s="4" t="s">
        <v>1136</v>
      </c>
      <c r="BC299" s="4" t="s">
        <v>620</v>
      </c>
      <c r="BD299" s="4" t="s">
        <v>622</v>
      </c>
      <c r="BI299" s="48">
        <v>295</v>
      </c>
      <c r="BJ299" s="55" t="s">
        <v>2524</v>
      </c>
      <c r="BK299" s="20" t="s">
        <v>2175</v>
      </c>
      <c r="BL299" s="20" t="s">
        <v>2179</v>
      </c>
    </row>
    <row r="300" spans="54:64">
      <c r="BB300" s="4" t="s">
        <v>627</v>
      </c>
      <c r="BC300" s="4" t="s">
        <v>626</v>
      </c>
      <c r="BD300" s="4" t="s">
        <v>622</v>
      </c>
      <c r="BI300" s="48">
        <v>296</v>
      </c>
      <c r="BJ300" s="55" t="s">
        <v>2609</v>
      </c>
      <c r="BK300" s="20" t="s">
        <v>2175</v>
      </c>
      <c r="BL300" s="20" t="s">
        <v>2179</v>
      </c>
    </row>
    <row r="301" spans="54:64">
      <c r="BB301" s="4" t="s">
        <v>964</v>
      </c>
      <c r="BC301" s="4" t="s">
        <v>963</v>
      </c>
      <c r="BD301" s="4" t="s">
        <v>956</v>
      </c>
      <c r="BI301" s="48">
        <v>297</v>
      </c>
      <c r="BJ301" s="55" t="s">
        <v>2525</v>
      </c>
      <c r="BK301" s="20" t="s">
        <v>2175</v>
      </c>
      <c r="BL301" s="20" t="s">
        <v>2179</v>
      </c>
    </row>
    <row r="302" spans="54:64">
      <c r="BB302" s="4" t="s">
        <v>960</v>
      </c>
      <c r="BC302" s="4" t="s">
        <v>959</v>
      </c>
      <c r="BD302" s="4" t="s">
        <v>956</v>
      </c>
      <c r="BI302" s="48">
        <v>298</v>
      </c>
      <c r="BJ302" s="55" t="s">
        <v>2526</v>
      </c>
      <c r="BK302" s="20" t="s">
        <v>2175</v>
      </c>
      <c r="BL302" s="20" t="s">
        <v>2179</v>
      </c>
    </row>
    <row r="303" spans="54:64">
      <c r="BB303" s="4" t="s">
        <v>962</v>
      </c>
      <c r="BC303" s="4" t="s">
        <v>961</v>
      </c>
      <c r="BD303" s="4" t="s">
        <v>956</v>
      </c>
      <c r="BI303" s="48">
        <v>299</v>
      </c>
      <c r="BJ303" s="55" t="s">
        <v>2565</v>
      </c>
      <c r="BK303" s="20" t="s">
        <v>2159</v>
      </c>
      <c r="BL303" s="20" t="s">
        <v>2166</v>
      </c>
    </row>
    <row r="304" spans="54:64">
      <c r="BB304" s="4" t="s">
        <v>957</v>
      </c>
      <c r="BC304" s="4" t="s">
        <v>956</v>
      </c>
      <c r="BD304" s="4" t="s">
        <v>956</v>
      </c>
      <c r="BI304" s="48">
        <v>300</v>
      </c>
      <c r="BJ304" s="55" t="s">
        <v>2591</v>
      </c>
      <c r="BK304" s="20" t="s">
        <v>2169</v>
      </c>
      <c r="BL304" s="20" t="s">
        <v>2174</v>
      </c>
    </row>
    <row r="305" spans="54:64">
      <c r="BB305" s="4" t="s">
        <v>958</v>
      </c>
      <c r="BC305" s="4" t="s">
        <v>956</v>
      </c>
      <c r="BD305" s="4" t="s">
        <v>956</v>
      </c>
      <c r="BI305" s="48">
        <v>301</v>
      </c>
      <c r="BJ305" s="55" t="s">
        <v>2563</v>
      </c>
      <c r="BK305" s="20" t="s">
        <v>2159</v>
      </c>
      <c r="BL305" s="20" t="s">
        <v>2161</v>
      </c>
    </row>
    <row r="306" spans="54:64">
      <c r="BB306" s="4" t="s">
        <v>965</v>
      </c>
      <c r="BC306" s="4" t="s">
        <v>956</v>
      </c>
      <c r="BD306" s="4" t="s">
        <v>956</v>
      </c>
      <c r="BI306" s="48">
        <v>302</v>
      </c>
      <c r="BJ306" s="55" t="s">
        <v>2564</v>
      </c>
      <c r="BK306" s="20" t="s">
        <v>2169</v>
      </c>
      <c r="BL306" s="20" t="s">
        <v>2174</v>
      </c>
    </row>
    <row r="307" spans="54:64">
      <c r="BB307" s="4" t="s">
        <v>1135</v>
      </c>
      <c r="BC307" s="4" t="s">
        <v>956</v>
      </c>
      <c r="BD307" s="4" t="s">
        <v>956</v>
      </c>
      <c r="BI307" s="48">
        <v>303</v>
      </c>
      <c r="BJ307" s="55" t="s">
        <v>2631</v>
      </c>
      <c r="BK307" s="20" t="s">
        <v>2169</v>
      </c>
      <c r="BL307" s="20" t="s">
        <v>2174</v>
      </c>
    </row>
    <row r="308" spans="54:64">
      <c r="BB308" s="4" t="s">
        <v>2053</v>
      </c>
      <c r="BC308" s="4" t="s">
        <v>375</v>
      </c>
      <c r="BD308" s="4" t="s">
        <v>2054</v>
      </c>
      <c r="BI308" s="48">
        <v>304</v>
      </c>
      <c r="BJ308" s="55" t="s">
        <v>2562</v>
      </c>
      <c r="BK308" s="20" t="s">
        <v>2169</v>
      </c>
      <c r="BL308" s="20" t="s">
        <v>2174</v>
      </c>
    </row>
    <row r="309" spans="54:64">
      <c r="BB309" s="4" t="s">
        <v>3</v>
      </c>
      <c r="BC309" s="4" t="s">
        <v>375</v>
      </c>
      <c r="BD309" s="4" t="s">
        <v>2054</v>
      </c>
      <c r="BI309" s="48">
        <v>305</v>
      </c>
      <c r="BJ309" s="55" t="s">
        <v>2594</v>
      </c>
      <c r="BK309" s="20" t="s">
        <v>2159</v>
      </c>
      <c r="BL309" s="20" t="s">
        <v>2161</v>
      </c>
    </row>
    <row r="310" spans="54:64">
      <c r="BB310" s="4" t="s">
        <v>4</v>
      </c>
      <c r="BC310" s="4" t="s">
        <v>375</v>
      </c>
      <c r="BD310" s="4" t="s">
        <v>2054</v>
      </c>
      <c r="BI310" s="48">
        <v>306</v>
      </c>
      <c r="BJ310" s="55" t="s">
        <v>2831</v>
      </c>
      <c r="BK310" s="20" t="s">
        <v>2169</v>
      </c>
      <c r="BL310" s="20" t="s">
        <v>2189</v>
      </c>
    </row>
    <row r="311" spans="54:64">
      <c r="BB311" s="4" t="s">
        <v>613</v>
      </c>
      <c r="BC311" s="4" t="s">
        <v>612</v>
      </c>
      <c r="BD311" s="4" t="s">
        <v>612</v>
      </c>
      <c r="BI311" s="48">
        <v>307</v>
      </c>
      <c r="BJ311" s="55" t="s">
        <v>2832</v>
      </c>
      <c r="BK311" s="20" t="s">
        <v>2169</v>
      </c>
      <c r="BL311" s="20" t="s">
        <v>2178</v>
      </c>
    </row>
    <row r="312" spans="54:64">
      <c r="BB312" s="4" t="s">
        <v>614</v>
      </c>
      <c r="BC312" s="4" t="s">
        <v>612</v>
      </c>
      <c r="BD312" s="4" t="s">
        <v>612</v>
      </c>
      <c r="BI312" s="48">
        <v>308</v>
      </c>
      <c r="BJ312" s="55" t="s">
        <v>2257</v>
      </c>
      <c r="BK312" s="20" t="s">
        <v>2159</v>
      </c>
      <c r="BL312" s="20" t="s">
        <v>2162</v>
      </c>
    </row>
    <row r="313" spans="54:64">
      <c r="BB313" s="4" t="s">
        <v>615</v>
      </c>
      <c r="BC313" s="4" t="s">
        <v>612</v>
      </c>
      <c r="BD313" s="4" t="s">
        <v>612</v>
      </c>
      <c r="BI313" s="48">
        <v>309</v>
      </c>
      <c r="BJ313" s="55" t="s">
        <v>2256</v>
      </c>
      <c r="BK313" s="20" t="s">
        <v>2159</v>
      </c>
      <c r="BL313" s="20" t="s">
        <v>2160</v>
      </c>
    </row>
    <row r="314" spans="54:64">
      <c r="BB314" s="4" t="s">
        <v>616</v>
      </c>
      <c r="BC314" s="4" t="s">
        <v>612</v>
      </c>
      <c r="BD314" s="4" t="s">
        <v>612</v>
      </c>
      <c r="BI314" s="48">
        <v>310</v>
      </c>
      <c r="BJ314" s="55" t="s">
        <v>2259</v>
      </c>
      <c r="BK314" s="20" t="s">
        <v>2163</v>
      </c>
      <c r="BL314" s="20" t="s">
        <v>2163</v>
      </c>
    </row>
    <row r="315" spans="54:64">
      <c r="BB315" s="4" t="s">
        <v>617</v>
      </c>
      <c r="BC315" s="4" t="s">
        <v>612</v>
      </c>
      <c r="BD315" s="4" t="s">
        <v>612</v>
      </c>
      <c r="BI315" s="48">
        <v>311</v>
      </c>
      <c r="BJ315" s="55" t="s">
        <v>2592</v>
      </c>
      <c r="BK315" s="20" t="s">
        <v>2163</v>
      </c>
      <c r="BL315" s="20" t="s">
        <v>2163</v>
      </c>
    </row>
    <row r="316" spans="54:64">
      <c r="BB316" s="4" t="s">
        <v>2056</v>
      </c>
      <c r="BC316" s="4" t="s">
        <v>2055</v>
      </c>
      <c r="BD316" s="4" t="s">
        <v>2050</v>
      </c>
      <c r="BI316" s="48">
        <v>312</v>
      </c>
      <c r="BJ316" s="55" t="s">
        <v>2255</v>
      </c>
      <c r="BK316" s="20" t="s">
        <v>2163</v>
      </c>
      <c r="BL316" s="20" t="s">
        <v>2163</v>
      </c>
    </row>
    <row r="317" spans="54:64">
      <c r="BB317" s="4" t="s">
        <v>2058</v>
      </c>
      <c r="BC317" s="4" t="s">
        <v>2057</v>
      </c>
      <c r="BD317" s="4" t="s">
        <v>2050</v>
      </c>
      <c r="BI317" s="48">
        <v>313</v>
      </c>
      <c r="BJ317" s="55" t="s">
        <v>2258</v>
      </c>
      <c r="BK317" s="20" t="s">
        <v>2163</v>
      </c>
      <c r="BL317" s="20" t="s">
        <v>2163</v>
      </c>
    </row>
    <row r="318" spans="54:64">
      <c r="BB318" s="4" t="s">
        <v>376</v>
      </c>
      <c r="BC318" s="4" t="s">
        <v>2050</v>
      </c>
      <c r="BD318" s="4" t="s">
        <v>2050</v>
      </c>
      <c r="BI318" s="48">
        <v>314</v>
      </c>
      <c r="BJ318" s="55" t="s">
        <v>2327</v>
      </c>
      <c r="BK318" s="20" t="s">
        <v>2169</v>
      </c>
      <c r="BL318" s="20" t="s">
        <v>2174</v>
      </c>
    </row>
    <row r="319" spans="54:64">
      <c r="BB319" s="4" t="s">
        <v>2051</v>
      </c>
      <c r="BC319" s="4" t="s">
        <v>2050</v>
      </c>
      <c r="BD319" s="4" t="s">
        <v>2050</v>
      </c>
      <c r="BI319" s="48">
        <v>315</v>
      </c>
      <c r="BJ319" s="55" t="s">
        <v>2626</v>
      </c>
      <c r="BK319" s="20" t="s">
        <v>2163</v>
      </c>
      <c r="BL319" s="20" t="s">
        <v>2163</v>
      </c>
    </row>
    <row r="320" spans="54:64">
      <c r="BB320" s="4" t="s">
        <v>2052</v>
      </c>
      <c r="BC320" s="4" t="s">
        <v>2050</v>
      </c>
      <c r="BD320" s="4" t="s">
        <v>2050</v>
      </c>
      <c r="BI320" s="48">
        <v>316</v>
      </c>
      <c r="BJ320" s="55" t="s">
        <v>2627</v>
      </c>
      <c r="BK320" s="20" t="s">
        <v>2159</v>
      </c>
      <c r="BL320" s="20" t="s">
        <v>2161</v>
      </c>
    </row>
    <row r="321" spans="54:64">
      <c r="BB321" s="4" t="s">
        <v>2007</v>
      </c>
      <c r="BC321" s="4" t="s">
        <v>2050</v>
      </c>
      <c r="BD321" s="4" t="s">
        <v>2050</v>
      </c>
      <c r="BI321" s="48">
        <v>317</v>
      </c>
      <c r="BJ321" s="55" t="s">
        <v>2306</v>
      </c>
      <c r="BK321" s="20" t="s">
        <v>2180</v>
      </c>
      <c r="BL321" s="20" t="s">
        <v>2181</v>
      </c>
    </row>
    <row r="322" spans="54:64">
      <c r="BB322" s="4" t="s">
        <v>372</v>
      </c>
      <c r="BC322" s="4" t="s">
        <v>371</v>
      </c>
      <c r="BD322" s="4" t="s">
        <v>371</v>
      </c>
      <c r="BI322" s="48">
        <v>318</v>
      </c>
      <c r="BJ322" s="55" t="s">
        <v>2307</v>
      </c>
      <c r="BK322" s="20" t="s">
        <v>2180</v>
      </c>
      <c r="BL322" s="20" t="s">
        <v>2181</v>
      </c>
    </row>
    <row r="323" spans="54:64">
      <c r="BB323" s="4" t="s">
        <v>2008</v>
      </c>
      <c r="BC323" s="4" t="s">
        <v>371</v>
      </c>
      <c r="BD323" s="4" t="s">
        <v>371</v>
      </c>
      <c r="BI323" s="48">
        <v>319</v>
      </c>
      <c r="BJ323" s="55" t="s">
        <v>2309</v>
      </c>
      <c r="BK323" s="20" t="s">
        <v>2180</v>
      </c>
      <c r="BL323" s="20" t="s">
        <v>2181</v>
      </c>
    </row>
    <row r="324" spans="54:64">
      <c r="BB324" s="4" t="s">
        <v>1056</v>
      </c>
      <c r="BC324" s="4" t="s">
        <v>371</v>
      </c>
      <c r="BD324" s="4" t="s">
        <v>371</v>
      </c>
      <c r="BI324" s="48">
        <v>320</v>
      </c>
      <c r="BJ324" s="55" t="s">
        <v>2310</v>
      </c>
      <c r="BK324" s="20" t="s">
        <v>2180</v>
      </c>
      <c r="BL324" s="20" t="s">
        <v>2181</v>
      </c>
    </row>
    <row r="325" spans="54:64">
      <c r="BB325" s="4" t="s">
        <v>1064</v>
      </c>
      <c r="BC325" s="4" t="s">
        <v>371</v>
      </c>
      <c r="BD325" s="4" t="s">
        <v>371</v>
      </c>
      <c r="BI325" s="48">
        <v>321</v>
      </c>
      <c r="BJ325" s="55" t="s">
        <v>2610</v>
      </c>
      <c r="BK325" s="20" t="s">
        <v>2163</v>
      </c>
      <c r="BL325" s="20" t="s">
        <v>2163</v>
      </c>
    </row>
    <row r="326" spans="54:64">
      <c r="BB326" s="4" t="s">
        <v>1079</v>
      </c>
      <c r="BC326" s="4" t="s">
        <v>371</v>
      </c>
      <c r="BD326" s="4" t="s">
        <v>371</v>
      </c>
      <c r="BI326" s="48">
        <v>322</v>
      </c>
      <c r="BJ326" s="55" t="s">
        <v>2358</v>
      </c>
      <c r="BK326" s="20" t="s">
        <v>2163</v>
      </c>
      <c r="BL326" s="20" t="s">
        <v>2163</v>
      </c>
    </row>
    <row r="327" spans="54:64">
      <c r="BB327" s="4" t="s">
        <v>1066</v>
      </c>
      <c r="BC327" s="4" t="s">
        <v>1065</v>
      </c>
      <c r="BD327" s="4" t="s">
        <v>371</v>
      </c>
      <c r="BI327" s="48">
        <v>323</v>
      </c>
      <c r="BJ327" s="55" t="s">
        <v>2274</v>
      </c>
      <c r="BK327" s="20" t="s">
        <v>2169</v>
      </c>
      <c r="BL327" s="20" t="s">
        <v>2174</v>
      </c>
    </row>
    <row r="328" spans="54:64">
      <c r="BB328" s="4" t="s">
        <v>1068</v>
      </c>
      <c r="BC328" s="4" t="s">
        <v>1067</v>
      </c>
      <c r="BD328" s="4" t="s">
        <v>371</v>
      </c>
      <c r="BI328" s="48">
        <v>324</v>
      </c>
      <c r="BJ328" s="55" t="s">
        <v>2364</v>
      </c>
      <c r="BK328" s="20" t="s">
        <v>2169</v>
      </c>
      <c r="BL328" s="20" t="s">
        <v>2189</v>
      </c>
    </row>
    <row r="329" spans="54:64">
      <c r="BB329" s="4" t="s">
        <v>1074</v>
      </c>
      <c r="BC329" s="4" t="s">
        <v>1073</v>
      </c>
      <c r="BD329" s="4" t="s">
        <v>371</v>
      </c>
      <c r="BI329" s="48">
        <v>325</v>
      </c>
      <c r="BJ329" s="55" t="s">
        <v>2566</v>
      </c>
      <c r="BK329" s="20" t="s">
        <v>2163</v>
      </c>
      <c r="BL329" s="20" t="s">
        <v>2163</v>
      </c>
    </row>
    <row r="330" spans="54:64">
      <c r="BB330" s="4" t="s">
        <v>1076</v>
      </c>
      <c r="BC330" s="4" t="s">
        <v>1075</v>
      </c>
      <c r="BD330" s="4" t="s">
        <v>371</v>
      </c>
      <c r="BI330" s="48">
        <v>326</v>
      </c>
      <c r="BJ330" s="55" t="s">
        <v>2265</v>
      </c>
      <c r="BK330" s="20" t="s">
        <v>2159</v>
      </c>
      <c r="BL330" s="20" t="s">
        <v>2161</v>
      </c>
    </row>
    <row r="331" spans="54:64">
      <c r="BB331" s="4" t="s">
        <v>1078</v>
      </c>
      <c r="BC331" s="4" t="s">
        <v>1077</v>
      </c>
      <c r="BD331" s="4" t="s">
        <v>371</v>
      </c>
      <c r="BI331" s="48">
        <v>327</v>
      </c>
      <c r="BJ331" s="55" t="s">
        <v>2527</v>
      </c>
      <c r="BK331" s="20" t="s">
        <v>33</v>
      </c>
      <c r="BL331" s="20" t="s">
        <v>2527</v>
      </c>
    </row>
    <row r="332" spans="54:64">
      <c r="BB332" s="4" t="s">
        <v>1072</v>
      </c>
      <c r="BC332" s="4" t="s">
        <v>1071</v>
      </c>
      <c r="BD332" s="4" t="s">
        <v>371</v>
      </c>
      <c r="BI332" s="48">
        <v>328</v>
      </c>
      <c r="BJ332" s="55" t="s">
        <v>2325</v>
      </c>
      <c r="BK332" s="20" t="s">
        <v>2163</v>
      </c>
      <c r="BL332" s="20" t="s">
        <v>2163</v>
      </c>
    </row>
    <row r="333" spans="54:64">
      <c r="BB333" s="4" t="s">
        <v>1070</v>
      </c>
      <c r="BC333" s="4" t="s">
        <v>1069</v>
      </c>
      <c r="BD333" s="4" t="s">
        <v>371</v>
      </c>
      <c r="BI333" s="48">
        <v>329</v>
      </c>
      <c r="BJ333" s="55" t="s">
        <v>2625</v>
      </c>
      <c r="BK333" s="20" t="s">
        <v>2159</v>
      </c>
      <c r="BL333" s="20" t="s">
        <v>2161</v>
      </c>
    </row>
    <row r="334" spans="54:64" ht="13.5" thickBot="1">
      <c r="BB334" s="4" t="s">
        <v>1932</v>
      </c>
      <c r="BC334" s="4" t="s">
        <v>1931</v>
      </c>
      <c r="BD334" s="4" t="s">
        <v>1931</v>
      </c>
      <c r="BI334" s="48">
        <v>330</v>
      </c>
      <c r="BJ334" s="56" t="s">
        <v>2195</v>
      </c>
      <c r="BK334" s="53" t="s">
        <v>2193</v>
      </c>
      <c r="BL334" s="53" t="s">
        <v>2194</v>
      </c>
    </row>
    <row r="335" spans="54:64">
      <c r="BB335" s="4" t="s">
        <v>1933</v>
      </c>
      <c r="BC335" s="4" t="s">
        <v>1931</v>
      </c>
      <c r="BD335" s="4" t="s">
        <v>1931</v>
      </c>
    </row>
    <row r="336" spans="54:64">
      <c r="BB336" s="4" t="s">
        <v>1364</v>
      </c>
      <c r="BC336" s="4" t="s">
        <v>1931</v>
      </c>
      <c r="BD336" s="4" t="s">
        <v>1931</v>
      </c>
    </row>
    <row r="337" spans="54:56">
      <c r="BB337" s="4" t="s">
        <v>1941</v>
      </c>
      <c r="BC337" s="4" t="s">
        <v>1940</v>
      </c>
      <c r="BD337" s="4" t="s">
        <v>1931</v>
      </c>
    </row>
    <row r="338" spans="54:56">
      <c r="BB338" s="4" t="s">
        <v>1937</v>
      </c>
      <c r="BC338" s="4" t="s">
        <v>1936</v>
      </c>
      <c r="BD338" s="4" t="s">
        <v>1931</v>
      </c>
    </row>
    <row r="339" spans="54:56">
      <c r="BB339" s="4" t="s">
        <v>1939</v>
      </c>
      <c r="BC339" s="4" t="s">
        <v>1938</v>
      </c>
      <c r="BD339" s="4" t="s">
        <v>1931</v>
      </c>
    </row>
    <row r="340" spans="54:56">
      <c r="BB340" s="4" t="s">
        <v>1935</v>
      </c>
      <c r="BC340" s="4" t="s">
        <v>1934</v>
      </c>
      <c r="BD340" s="4" t="s">
        <v>1931</v>
      </c>
    </row>
    <row r="341" spans="54:56">
      <c r="BB341" s="4" t="s">
        <v>777</v>
      </c>
      <c r="BC341" s="4" t="s">
        <v>776</v>
      </c>
      <c r="BD341" s="4" t="s">
        <v>776</v>
      </c>
    </row>
    <row r="342" spans="54:56">
      <c r="BB342" s="4" t="s">
        <v>778</v>
      </c>
      <c r="BC342" s="4" t="s">
        <v>776</v>
      </c>
      <c r="BD342" s="4" t="s">
        <v>776</v>
      </c>
    </row>
    <row r="343" spans="54:56">
      <c r="BB343" s="4" t="s">
        <v>1355</v>
      </c>
      <c r="BC343" s="4" t="s">
        <v>1081</v>
      </c>
      <c r="BD343" s="4" t="s">
        <v>776</v>
      </c>
    </row>
    <row r="344" spans="54:56">
      <c r="BB344" s="4" t="s">
        <v>1356</v>
      </c>
      <c r="BC344" s="4" t="s">
        <v>1081</v>
      </c>
      <c r="BD344" s="4" t="s">
        <v>776</v>
      </c>
    </row>
    <row r="345" spans="54:56">
      <c r="BB345" s="4" t="s">
        <v>780</v>
      </c>
      <c r="BC345" s="4" t="s">
        <v>779</v>
      </c>
      <c r="BD345" s="4" t="s">
        <v>776</v>
      </c>
    </row>
    <row r="346" spans="54:56">
      <c r="BB346" s="4" t="s">
        <v>999</v>
      </c>
      <c r="BC346" s="4" t="s">
        <v>998</v>
      </c>
      <c r="BD346" s="4" t="s">
        <v>995</v>
      </c>
    </row>
    <row r="347" spans="54:56">
      <c r="BB347" s="4" t="s">
        <v>996</v>
      </c>
      <c r="BC347" s="4" t="s">
        <v>995</v>
      </c>
      <c r="BD347" s="4" t="s">
        <v>995</v>
      </c>
    </row>
    <row r="348" spans="54:56">
      <c r="BB348" s="4" t="s">
        <v>997</v>
      </c>
      <c r="BC348" s="4" t="s">
        <v>995</v>
      </c>
      <c r="BD348" s="4" t="s">
        <v>995</v>
      </c>
    </row>
    <row r="349" spans="54:56">
      <c r="BB349" s="4" t="s">
        <v>857</v>
      </c>
      <c r="BC349" s="4" t="s">
        <v>856</v>
      </c>
      <c r="BD349" s="4" t="s">
        <v>851</v>
      </c>
    </row>
    <row r="350" spans="54:56">
      <c r="BB350" s="4" t="s">
        <v>855</v>
      </c>
      <c r="BC350" s="4" t="s">
        <v>854</v>
      </c>
      <c r="BD350" s="4" t="s">
        <v>851</v>
      </c>
    </row>
    <row r="351" spans="54:56">
      <c r="BB351" s="4" t="s">
        <v>859</v>
      </c>
      <c r="BC351" s="4" t="s">
        <v>858</v>
      </c>
      <c r="BD351" s="4" t="s">
        <v>851</v>
      </c>
    </row>
    <row r="352" spans="54:56">
      <c r="BB352" s="4" t="s">
        <v>852</v>
      </c>
      <c r="BC352" s="4" t="s">
        <v>851</v>
      </c>
      <c r="BD352" s="4" t="s">
        <v>851</v>
      </c>
    </row>
    <row r="353" spans="54:56">
      <c r="BB353" s="4" t="s">
        <v>853</v>
      </c>
      <c r="BC353" s="4" t="s">
        <v>851</v>
      </c>
      <c r="BD353" s="4" t="s">
        <v>851</v>
      </c>
    </row>
    <row r="354" spans="54:56">
      <c r="BB354" s="4" t="s">
        <v>860</v>
      </c>
      <c r="BC354" s="4" t="s">
        <v>851</v>
      </c>
      <c r="BD354" s="4" t="s">
        <v>851</v>
      </c>
    </row>
    <row r="355" spans="54:56">
      <c r="BB355" s="4" t="s">
        <v>379</v>
      </c>
      <c r="BC355" s="4" t="s">
        <v>378</v>
      </c>
      <c r="BD355" s="4" t="s">
        <v>378</v>
      </c>
    </row>
    <row r="356" spans="54:56">
      <c r="BB356" s="4" t="s">
        <v>1753</v>
      </c>
      <c r="BC356" s="4" t="s">
        <v>378</v>
      </c>
      <c r="BD356" s="4" t="s">
        <v>378</v>
      </c>
    </row>
    <row r="357" spans="54:56">
      <c r="BB357" s="4" t="s">
        <v>1754</v>
      </c>
      <c r="BC357" s="4" t="s">
        <v>378</v>
      </c>
      <c r="BD357" s="4" t="s">
        <v>378</v>
      </c>
    </row>
    <row r="358" spans="54:56">
      <c r="BB358" s="4" t="s">
        <v>1916</v>
      </c>
      <c r="BC358" s="4" t="s">
        <v>378</v>
      </c>
      <c r="BD358" s="4" t="s">
        <v>378</v>
      </c>
    </row>
    <row r="359" spans="54:56">
      <c r="BB359" s="4" t="s">
        <v>2009</v>
      </c>
      <c r="BC359" s="4" t="s">
        <v>378</v>
      </c>
      <c r="BD359" s="4" t="s">
        <v>378</v>
      </c>
    </row>
    <row r="360" spans="54:56">
      <c r="BB360" s="4" t="s">
        <v>1544</v>
      </c>
      <c r="BC360" s="4" t="s">
        <v>378</v>
      </c>
      <c r="BD360" s="4" t="s">
        <v>378</v>
      </c>
    </row>
    <row r="361" spans="54:56">
      <c r="BB361" s="4" t="s">
        <v>1341</v>
      </c>
      <c r="BC361" s="4" t="s">
        <v>1340</v>
      </c>
      <c r="BD361" s="4" t="s">
        <v>1908</v>
      </c>
    </row>
    <row r="362" spans="54:56">
      <c r="BB362" s="4" t="s">
        <v>1914</v>
      </c>
      <c r="BC362" s="4" t="s">
        <v>1913</v>
      </c>
      <c r="BD362" s="4" t="s">
        <v>1908</v>
      </c>
    </row>
    <row r="363" spans="54:56">
      <c r="BB363" s="4" t="s">
        <v>1911</v>
      </c>
      <c r="BC363" s="4" t="s">
        <v>1910</v>
      </c>
      <c r="BD363" s="4" t="s">
        <v>1908</v>
      </c>
    </row>
    <row r="364" spans="54:56">
      <c r="BB364" s="4" t="s">
        <v>1912</v>
      </c>
      <c r="BC364" s="4" t="s">
        <v>1910</v>
      </c>
      <c r="BD364" s="4" t="s">
        <v>1908</v>
      </c>
    </row>
    <row r="365" spans="54:56">
      <c r="BB365" s="4" t="s">
        <v>1915</v>
      </c>
      <c r="BC365" s="4" t="s">
        <v>1112</v>
      </c>
      <c r="BD365" s="4" t="s">
        <v>1908</v>
      </c>
    </row>
    <row r="366" spans="54:56">
      <c r="BB366" s="4" t="s">
        <v>1907</v>
      </c>
      <c r="BC366" s="4" t="s">
        <v>1906</v>
      </c>
      <c r="BD366" s="4" t="s">
        <v>1908</v>
      </c>
    </row>
    <row r="367" spans="54:56">
      <c r="BB367" s="4" t="s">
        <v>1909</v>
      </c>
      <c r="BC367" s="4" t="s">
        <v>2046</v>
      </c>
      <c r="BD367" s="4" t="s">
        <v>1908</v>
      </c>
    </row>
    <row r="368" spans="54:56">
      <c r="BB368" s="4" t="s">
        <v>1756</v>
      </c>
      <c r="BC368" s="4" t="s">
        <v>1755</v>
      </c>
      <c r="BD368" s="4" t="s">
        <v>1757</v>
      </c>
    </row>
    <row r="369" spans="54:56">
      <c r="BB369" s="4" t="s">
        <v>1758</v>
      </c>
      <c r="BC369" s="4" t="s">
        <v>1755</v>
      </c>
      <c r="BD369" s="4" t="s">
        <v>1757</v>
      </c>
    </row>
    <row r="370" spans="54:56">
      <c r="BB370" s="4" t="s">
        <v>1759</v>
      </c>
      <c r="BC370" s="4" t="s">
        <v>1755</v>
      </c>
      <c r="BD370" s="4" t="s">
        <v>1757</v>
      </c>
    </row>
    <row r="371" spans="54:56">
      <c r="BB371" s="4" t="s">
        <v>602</v>
      </c>
      <c r="BC371" s="4" t="s">
        <v>601</v>
      </c>
      <c r="BD371" s="4" t="s">
        <v>596</v>
      </c>
    </row>
    <row r="372" spans="54:56">
      <c r="BB372" s="4" t="s">
        <v>597</v>
      </c>
      <c r="BC372" s="4" t="s">
        <v>596</v>
      </c>
      <c r="BD372" s="4" t="s">
        <v>596</v>
      </c>
    </row>
    <row r="373" spans="54:56">
      <c r="BB373" s="4" t="s">
        <v>598</v>
      </c>
      <c r="BC373" s="4" t="s">
        <v>596</v>
      </c>
      <c r="BD373" s="4" t="s">
        <v>596</v>
      </c>
    </row>
    <row r="374" spans="54:56">
      <c r="BB374" s="4" t="s">
        <v>599</v>
      </c>
      <c r="BC374" s="4" t="s">
        <v>596</v>
      </c>
      <c r="BD374" s="4" t="s">
        <v>596</v>
      </c>
    </row>
    <row r="375" spans="54:56">
      <c r="BB375" s="4" t="s">
        <v>600</v>
      </c>
      <c r="BC375" s="4" t="s">
        <v>596</v>
      </c>
      <c r="BD375" s="4" t="s">
        <v>596</v>
      </c>
    </row>
    <row r="376" spans="54:56">
      <c r="BB376" s="4" t="s">
        <v>611</v>
      </c>
      <c r="BC376" s="4" t="s">
        <v>610</v>
      </c>
      <c r="BD376" s="4" t="s">
        <v>605</v>
      </c>
    </row>
    <row r="377" spans="54:56">
      <c r="BB377" s="4" t="s">
        <v>609</v>
      </c>
      <c r="BC377" s="4" t="s">
        <v>608</v>
      </c>
      <c r="BD377" s="4" t="s">
        <v>605</v>
      </c>
    </row>
    <row r="378" spans="54:56">
      <c r="BB378" s="4" t="s">
        <v>604</v>
      </c>
      <c r="BC378" s="4" t="s">
        <v>603</v>
      </c>
      <c r="BD378" s="4" t="s">
        <v>605</v>
      </c>
    </row>
    <row r="379" spans="54:56">
      <c r="BB379" s="4" t="s">
        <v>606</v>
      </c>
      <c r="BC379" s="4" t="s">
        <v>603</v>
      </c>
      <c r="BD379" s="4" t="s">
        <v>605</v>
      </c>
    </row>
    <row r="380" spans="54:56">
      <c r="BB380" s="4" t="s">
        <v>607</v>
      </c>
      <c r="BC380" s="4" t="s">
        <v>603</v>
      </c>
      <c r="BD380" s="4" t="s">
        <v>605</v>
      </c>
    </row>
    <row r="381" spans="54:56">
      <c r="BB381" s="4" t="s">
        <v>773</v>
      </c>
      <c r="BC381" s="4" t="s">
        <v>772</v>
      </c>
      <c r="BD381" s="4" t="s">
        <v>764</v>
      </c>
    </row>
    <row r="382" spans="54:56">
      <c r="BB382" s="4" t="s">
        <v>765</v>
      </c>
      <c r="BC382" s="4" t="s">
        <v>764</v>
      </c>
      <c r="BD382" s="4" t="s">
        <v>764</v>
      </c>
    </row>
    <row r="383" spans="54:56">
      <c r="BB383" s="4" t="s">
        <v>861</v>
      </c>
      <c r="BC383" s="4" t="s">
        <v>764</v>
      </c>
      <c r="BD383" s="4" t="s">
        <v>764</v>
      </c>
    </row>
    <row r="384" spans="54:56">
      <c r="BB384" s="4" t="s">
        <v>2010</v>
      </c>
      <c r="BC384" s="4" t="s">
        <v>764</v>
      </c>
      <c r="BD384" s="4" t="s">
        <v>764</v>
      </c>
    </row>
    <row r="385" spans="54:56">
      <c r="BB385" s="4" t="s">
        <v>1354</v>
      </c>
      <c r="BC385" s="4" t="s">
        <v>764</v>
      </c>
      <c r="BD385" s="4" t="s">
        <v>764</v>
      </c>
    </row>
    <row r="386" spans="54:56">
      <c r="BB386" s="4" t="s">
        <v>1365</v>
      </c>
      <c r="BC386" s="4" t="s">
        <v>764</v>
      </c>
      <c r="BD386" s="4" t="s">
        <v>764</v>
      </c>
    </row>
    <row r="387" spans="54:56">
      <c r="BB387" s="4" t="s">
        <v>771</v>
      </c>
      <c r="BC387" s="4" t="s">
        <v>770</v>
      </c>
      <c r="BD387" s="4" t="s">
        <v>764</v>
      </c>
    </row>
    <row r="388" spans="54:56">
      <c r="BB388" s="4" t="s">
        <v>767</v>
      </c>
      <c r="BC388" s="4" t="s">
        <v>766</v>
      </c>
      <c r="BD388" s="4" t="s">
        <v>764</v>
      </c>
    </row>
    <row r="389" spans="54:56">
      <c r="BB389" s="4" t="s">
        <v>769</v>
      </c>
      <c r="BC389" s="4" t="s">
        <v>768</v>
      </c>
      <c r="BD389" s="4" t="s">
        <v>764</v>
      </c>
    </row>
    <row r="390" spans="54:56">
      <c r="BB390" s="4" t="s">
        <v>775</v>
      </c>
      <c r="BC390" s="4" t="s">
        <v>774</v>
      </c>
      <c r="BD390" s="4" t="s">
        <v>764</v>
      </c>
    </row>
    <row r="391" spans="54:56">
      <c r="BB391" s="4" t="s">
        <v>793</v>
      </c>
      <c r="BC391" s="4" t="s">
        <v>792</v>
      </c>
      <c r="BD391" s="4" t="s">
        <v>792</v>
      </c>
    </row>
    <row r="392" spans="54:56">
      <c r="BB392" s="4" t="s">
        <v>794</v>
      </c>
      <c r="BC392" s="4" t="s">
        <v>792</v>
      </c>
      <c r="BD392" s="4" t="s">
        <v>792</v>
      </c>
    </row>
    <row r="393" spans="54:56">
      <c r="BB393" s="4" t="s">
        <v>1351</v>
      </c>
      <c r="BC393" s="4" t="s">
        <v>792</v>
      </c>
      <c r="BD393" s="4" t="s">
        <v>792</v>
      </c>
    </row>
    <row r="394" spans="54:56">
      <c r="BB394" s="4" t="s">
        <v>1353</v>
      </c>
      <c r="BC394" s="4" t="s">
        <v>792</v>
      </c>
      <c r="BD394" s="4" t="s">
        <v>792</v>
      </c>
    </row>
    <row r="395" spans="54:56">
      <c r="BB395" s="4" t="s">
        <v>1358</v>
      </c>
      <c r="BC395" s="4" t="s">
        <v>792</v>
      </c>
      <c r="BD395" s="4" t="s">
        <v>792</v>
      </c>
    </row>
    <row r="396" spans="54:56">
      <c r="BB396" s="4" t="s">
        <v>796</v>
      </c>
      <c r="BC396" s="4" t="s">
        <v>795</v>
      </c>
      <c r="BD396" s="4" t="s">
        <v>792</v>
      </c>
    </row>
    <row r="397" spans="54:56">
      <c r="BB397" s="4" t="s">
        <v>804</v>
      </c>
      <c r="BC397" s="4" t="s">
        <v>803</v>
      </c>
      <c r="BD397" s="4" t="s">
        <v>797</v>
      </c>
    </row>
    <row r="398" spans="54:56">
      <c r="BB398" s="4" t="s">
        <v>802</v>
      </c>
      <c r="BC398" s="4" t="s">
        <v>801</v>
      </c>
      <c r="BD398" s="4" t="s">
        <v>797</v>
      </c>
    </row>
    <row r="399" spans="54:56">
      <c r="BB399" s="4" t="s">
        <v>813</v>
      </c>
      <c r="BC399" s="4" t="s">
        <v>812</v>
      </c>
      <c r="BD399" s="4" t="s">
        <v>797</v>
      </c>
    </row>
    <row r="400" spans="54:56">
      <c r="BB400" s="4" t="s">
        <v>798</v>
      </c>
      <c r="BC400" s="4" t="s">
        <v>797</v>
      </c>
      <c r="BD400" s="4" t="s">
        <v>797</v>
      </c>
    </row>
    <row r="401" spans="54:56">
      <c r="BB401" s="4" t="s">
        <v>799</v>
      </c>
      <c r="BC401" s="4" t="s">
        <v>797</v>
      </c>
      <c r="BD401" s="4" t="s">
        <v>797</v>
      </c>
    </row>
    <row r="402" spans="54:56">
      <c r="BB402" s="4" t="s">
        <v>800</v>
      </c>
      <c r="BC402" s="4" t="s">
        <v>797</v>
      </c>
      <c r="BD402" s="4" t="s">
        <v>797</v>
      </c>
    </row>
    <row r="403" spans="54:56">
      <c r="BB403" s="4" t="s">
        <v>809</v>
      </c>
      <c r="BC403" s="4" t="s">
        <v>797</v>
      </c>
      <c r="BD403" s="4" t="s">
        <v>797</v>
      </c>
    </row>
    <row r="404" spans="54:56">
      <c r="BB404" s="4" t="s">
        <v>1359</v>
      </c>
      <c r="BC404" s="4" t="s">
        <v>797</v>
      </c>
      <c r="BD404" s="4" t="s">
        <v>797</v>
      </c>
    </row>
    <row r="405" spans="54:56">
      <c r="BB405" s="4" t="s">
        <v>808</v>
      </c>
      <c r="BC405" s="4" t="s">
        <v>807</v>
      </c>
      <c r="BD405" s="4" t="s">
        <v>797</v>
      </c>
    </row>
    <row r="406" spans="54:56">
      <c r="BB406" s="4" t="s">
        <v>815</v>
      </c>
      <c r="BC406" s="4" t="s">
        <v>814</v>
      </c>
      <c r="BD406" s="4" t="s">
        <v>797</v>
      </c>
    </row>
    <row r="407" spans="54:56">
      <c r="BB407" s="4" t="s">
        <v>806</v>
      </c>
      <c r="BC407" s="4" t="s">
        <v>805</v>
      </c>
      <c r="BD407" s="4" t="s">
        <v>797</v>
      </c>
    </row>
    <row r="408" spans="54:56">
      <c r="BB408" s="4" t="s">
        <v>811</v>
      </c>
      <c r="BC408" s="4" t="s">
        <v>810</v>
      </c>
      <c r="BD408" s="4" t="s">
        <v>797</v>
      </c>
    </row>
    <row r="409" spans="54:56">
      <c r="BB409" s="4" t="s">
        <v>834</v>
      </c>
      <c r="BC409" s="4" t="s">
        <v>833</v>
      </c>
      <c r="BD409" s="4" t="s">
        <v>829</v>
      </c>
    </row>
    <row r="410" spans="54:56">
      <c r="BB410" s="4" t="s">
        <v>831</v>
      </c>
      <c r="BC410" s="4" t="s">
        <v>1890</v>
      </c>
      <c r="BD410" s="4" t="s">
        <v>829</v>
      </c>
    </row>
    <row r="411" spans="54:56">
      <c r="BB411" s="4" t="s">
        <v>837</v>
      </c>
      <c r="BC411" s="4" t="s">
        <v>656</v>
      </c>
      <c r="BD411" s="4" t="s">
        <v>829</v>
      </c>
    </row>
    <row r="412" spans="54:56">
      <c r="BB412" s="4" t="s">
        <v>830</v>
      </c>
      <c r="BC412" s="4" t="s">
        <v>829</v>
      </c>
      <c r="BD412" s="4" t="s">
        <v>829</v>
      </c>
    </row>
    <row r="413" spans="54:56">
      <c r="BB413" s="4" t="s">
        <v>832</v>
      </c>
      <c r="BC413" s="4" t="s">
        <v>829</v>
      </c>
      <c r="BD413" s="4" t="s">
        <v>829</v>
      </c>
    </row>
    <row r="414" spans="54:56">
      <c r="BB414" s="4" t="s">
        <v>1361</v>
      </c>
      <c r="BC414" s="4" t="s">
        <v>829</v>
      </c>
      <c r="BD414" s="4" t="s">
        <v>829</v>
      </c>
    </row>
    <row r="415" spans="54:56">
      <c r="BB415" s="4" t="s">
        <v>836</v>
      </c>
      <c r="BC415" s="4" t="s">
        <v>835</v>
      </c>
      <c r="BD415" s="4" t="s">
        <v>829</v>
      </c>
    </row>
    <row r="416" spans="54:56">
      <c r="BB416" s="4" t="s">
        <v>319</v>
      </c>
      <c r="BC416" s="4" t="s">
        <v>318</v>
      </c>
      <c r="BD416" s="4" t="s">
        <v>318</v>
      </c>
    </row>
    <row r="417" spans="54:56">
      <c r="BB417" s="4" t="s">
        <v>864</v>
      </c>
      <c r="BC417" s="4" t="s">
        <v>318</v>
      </c>
      <c r="BD417" s="4" t="s">
        <v>318</v>
      </c>
    </row>
    <row r="418" spans="54:56">
      <c r="BB418" s="4" t="s">
        <v>321</v>
      </c>
      <c r="BC418" s="4" t="s">
        <v>320</v>
      </c>
      <c r="BD418" s="4" t="s">
        <v>318</v>
      </c>
    </row>
    <row r="419" spans="54:56">
      <c r="BB419" s="4" t="s">
        <v>863</v>
      </c>
      <c r="BC419" s="4" t="s">
        <v>2012</v>
      </c>
      <c r="BD419" s="4" t="s">
        <v>318</v>
      </c>
    </row>
    <row r="420" spans="54:56">
      <c r="BB420" s="4" t="s">
        <v>323</v>
      </c>
      <c r="BC420" s="4" t="s">
        <v>322</v>
      </c>
      <c r="BD420" s="4" t="s">
        <v>318</v>
      </c>
    </row>
    <row r="421" spans="54:56">
      <c r="BB421" s="4" t="s">
        <v>327</v>
      </c>
      <c r="BC421" s="4" t="s">
        <v>326</v>
      </c>
      <c r="BD421" s="4" t="s">
        <v>318</v>
      </c>
    </row>
    <row r="422" spans="54:56">
      <c r="BB422" s="4" t="s">
        <v>325</v>
      </c>
      <c r="BC422" s="4" t="s">
        <v>324</v>
      </c>
      <c r="BD422" s="4" t="s">
        <v>318</v>
      </c>
    </row>
    <row r="423" spans="54:56">
      <c r="BB423" s="4" t="s">
        <v>1969</v>
      </c>
      <c r="BC423" s="4" t="s">
        <v>1968</v>
      </c>
      <c r="BD423" s="4" t="s">
        <v>1968</v>
      </c>
    </row>
    <row r="424" spans="54:56">
      <c r="BB424" s="4" t="s">
        <v>1970</v>
      </c>
      <c r="BC424" s="4" t="s">
        <v>1968</v>
      </c>
      <c r="BD424" s="4" t="s">
        <v>1968</v>
      </c>
    </row>
    <row r="425" spans="54:56">
      <c r="BB425" s="4" t="s">
        <v>1948</v>
      </c>
      <c r="BC425" s="4" t="s">
        <v>1947</v>
      </c>
      <c r="BD425" s="4" t="s">
        <v>1942</v>
      </c>
    </row>
    <row r="426" spans="54:56">
      <c r="BB426" s="4" t="s">
        <v>1943</v>
      </c>
      <c r="BC426" s="4" t="s">
        <v>1942</v>
      </c>
      <c r="BD426" s="4" t="s">
        <v>1942</v>
      </c>
    </row>
    <row r="427" spans="54:56">
      <c r="BB427" s="4" t="s">
        <v>1944</v>
      </c>
      <c r="BC427" s="4" t="s">
        <v>1942</v>
      </c>
      <c r="BD427" s="4" t="s">
        <v>1942</v>
      </c>
    </row>
    <row r="428" spans="54:56">
      <c r="BB428" s="4" t="s">
        <v>1951</v>
      </c>
      <c r="BC428" s="4" t="s">
        <v>1942</v>
      </c>
      <c r="BD428" s="4" t="s">
        <v>1942</v>
      </c>
    </row>
    <row r="429" spans="54:56">
      <c r="BB429" s="4" t="s">
        <v>865</v>
      </c>
      <c r="BC429" s="4" t="s">
        <v>1942</v>
      </c>
      <c r="BD429" s="4" t="s">
        <v>1942</v>
      </c>
    </row>
    <row r="430" spans="54:56">
      <c r="BB430" s="4" t="s">
        <v>1950</v>
      </c>
      <c r="BC430" s="4" t="s">
        <v>1949</v>
      </c>
      <c r="BD430" s="4" t="s">
        <v>1942</v>
      </c>
    </row>
    <row r="431" spans="54:56">
      <c r="BB431" s="4" t="s">
        <v>1946</v>
      </c>
      <c r="BC431" s="4" t="s">
        <v>1945</v>
      </c>
      <c r="BD431" s="4" t="s">
        <v>1942</v>
      </c>
    </row>
    <row r="432" spans="54:56">
      <c r="BB432" s="4" t="s">
        <v>398</v>
      </c>
      <c r="BC432" s="4" t="s">
        <v>397</v>
      </c>
      <c r="BD432" s="4" t="s">
        <v>366</v>
      </c>
    </row>
    <row r="433" spans="54:56">
      <c r="BB433" s="4" t="s">
        <v>370</v>
      </c>
      <c r="BC433" s="4" t="s">
        <v>369</v>
      </c>
      <c r="BD433" s="4" t="s">
        <v>366</v>
      </c>
    </row>
    <row r="434" spans="54:56">
      <c r="BB434" s="4" t="s">
        <v>400</v>
      </c>
      <c r="BC434" s="4" t="s">
        <v>399</v>
      </c>
      <c r="BD434" s="4" t="s">
        <v>366</v>
      </c>
    </row>
    <row r="435" spans="54:56">
      <c r="BB435" s="4" t="s">
        <v>1049</v>
      </c>
      <c r="BC435" s="4" t="s">
        <v>1048</v>
      </c>
      <c r="BD435" s="4" t="s">
        <v>366</v>
      </c>
    </row>
    <row r="436" spans="54:56">
      <c r="BB436" s="4" t="s">
        <v>367</v>
      </c>
      <c r="BC436" s="4" t="s">
        <v>366</v>
      </c>
      <c r="BD436" s="4" t="s">
        <v>366</v>
      </c>
    </row>
    <row r="437" spans="54:56">
      <c r="BB437" s="4" t="s">
        <v>368</v>
      </c>
      <c r="BC437" s="4" t="s">
        <v>366</v>
      </c>
      <c r="BD437" s="4" t="s">
        <v>366</v>
      </c>
    </row>
    <row r="438" spans="54:56">
      <c r="BB438" s="4" t="s">
        <v>386</v>
      </c>
      <c r="BC438" s="4" t="s">
        <v>366</v>
      </c>
      <c r="BD438" s="4" t="s">
        <v>366</v>
      </c>
    </row>
    <row r="439" spans="54:56">
      <c r="BB439" s="4" t="s">
        <v>401</v>
      </c>
      <c r="BC439" s="4" t="s">
        <v>366</v>
      </c>
      <c r="BD439" s="4" t="s">
        <v>366</v>
      </c>
    </row>
    <row r="440" spans="54:56">
      <c r="BB440" s="4" t="s">
        <v>2011</v>
      </c>
      <c r="BC440" s="4" t="s">
        <v>366</v>
      </c>
      <c r="BD440" s="4" t="s">
        <v>366</v>
      </c>
    </row>
    <row r="441" spans="54:56">
      <c r="BB441" s="4" t="s">
        <v>866</v>
      </c>
      <c r="BC441" s="4" t="s">
        <v>366</v>
      </c>
      <c r="BD441" s="4" t="s">
        <v>366</v>
      </c>
    </row>
    <row r="442" spans="54:56">
      <c r="BB442" s="4" t="s">
        <v>750</v>
      </c>
      <c r="BC442" s="4" t="s">
        <v>749</v>
      </c>
      <c r="BD442" s="4" t="s">
        <v>746</v>
      </c>
    </row>
    <row r="443" spans="54:56">
      <c r="BB443" s="4" t="s">
        <v>747</v>
      </c>
      <c r="BC443" s="4" t="s">
        <v>746</v>
      </c>
      <c r="BD443" s="4" t="s">
        <v>746</v>
      </c>
    </row>
    <row r="444" spans="54:56">
      <c r="BB444" s="4" t="s">
        <v>748</v>
      </c>
      <c r="BC444" s="4" t="s">
        <v>746</v>
      </c>
      <c r="BD444" s="4" t="s">
        <v>746</v>
      </c>
    </row>
    <row r="445" spans="54:56">
      <c r="BB445" s="4" t="s">
        <v>751</v>
      </c>
      <c r="BC445" s="4" t="s">
        <v>746</v>
      </c>
      <c r="BD445" s="4" t="s">
        <v>746</v>
      </c>
    </row>
    <row r="446" spans="54:56">
      <c r="BB446" s="4" t="s">
        <v>763</v>
      </c>
      <c r="BC446" s="4" t="s">
        <v>762</v>
      </c>
      <c r="BD446" s="4" t="s">
        <v>759</v>
      </c>
    </row>
    <row r="447" spans="54:56">
      <c r="BB447" s="4" t="s">
        <v>760</v>
      </c>
      <c r="BC447" s="4" t="s">
        <v>759</v>
      </c>
      <c r="BD447" s="4" t="s">
        <v>759</v>
      </c>
    </row>
    <row r="448" spans="54:56">
      <c r="BB448" s="4" t="s">
        <v>761</v>
      </c>
      <c r="BC448" s="4" t="s">
        <v>759</v>
      </c>
      <c r="BD448" s="4" t="s">
        <v>759</v>
      </c>
    </row>
    <row r="449" spans="54:56">
      <c r="BB449" s="4" t="s">
        <v>1339</v>
      </c>
      <c r="BC449" s="4" t="s">
        <v>1890</v>
      </c>
      <c r="BD449" s="4" t="s">
        <v>1877</v>
      </c>
    </row>
    <row r="450" spans="54:56">
      <c r="BB450" s="4" t="s">
        <v>1777</v>
      </c>
      <c r="BC450" s="4" t="s">
        <v>1776</v>
      </c>
      <c r="BD450" s="4" t="s">
        <v>1776</v>
      </c>
    </row>
    <row r="451" spans="54:56">
      <c r="BB451" s="4" t="s">
        <v>1781</v>
      </c>
      <c r="BC451" s="4" t="s">
        <v>1776</v>
      </c>
      <c r="BD451" s="4" t="s">
        <v>1776</v>
      </c>
    </row>
    <row r="452" spans="54:56">
      <c r="BB452" s="4" t="s">
        <v>1785</v>
      </c>
      <c r="BC452" s="4" t="s">
        <v>1784</v>
      </c>
      <c r="BD452" s="4" t="s">
        <v>1776</v>
      </c>
    </row>
    <row r="453" spans="54:56">
      <c r="BB453" s="4" t="s">
        <v>1783</v>
      </c>
      <c r="BC453" s="4" t="s">
        <v>1782</v>
      </c>
      <c r="BD453" s="4" t="s">
        <v>1776</v>
      </c>
    </row>
    <row r="454" spans="54:56">
      <c r="BB454" s="4" t="s">
        <v>1778</v>
      </c>
      <c r="BC454" s="4" t="s">
        <v>1779</v>
      </c>
      <c r="BD454" s="4" t="s">
        <v>1779</v>
      </c>
    </row>
    <row r="455" spans="54:56">
      <c r="BB455" s="4" t="s">
        <v>1780</v>
      </c>
      <c r="BC455" s="4" t="s">
        <v>1779</v>
      </c>
      <c r="BD455" s="4" t="s">
        <v>1779</v>
      </c>
    </row>
    <row r="456" spans="54:56">
      <c r="BB456" s="4" t="s">
        <v>1917</v>
      </c>
      <c r="BC456" s="4" t="s">
        <v>1779</v>
      </c>
      <c r="BD456" s="4" t="s">
        <v>1779</v>
      </c>
    </row>
    <row r="457" spans="54:56">
      <c r="BB457" s="4" t="s">
        <v>1918</v>
      </c>
      <c r="BC457" s="4" t="s">
        <v>1779</v>
      </c>
      <c r="BD457" s="4" t="s">
        <v>1779</v>
      </c>
    </row>
    <row r="458" spans="54:56">
      <c r="BB458" s="4" t="s">
        <v>1919</v>
      </c>
      <c r="BC458" s="4" t="s">
        <v>1779</v>
      </c>
      <c r="BD458" s="4" t="s">
        <v>1779</v>
      </c>
    </row>
    <row r="459" spans="54:56">
      <c r="BB459" s="4" t="s">
        <v>1346</v>
      </c>
      <c r="BC459" s="4" t="s">
        <v>1779</v>
      </c>
      <c r="BD459" s="4" t="s">
        <v>1779</v>
      </c>
    </row>
    <row r="460" spans="54:56">
      <c r="BB460" s="4" t="s">
        <v>1343</v>
      </c>
      <c r="BC460" s="4" t="s">
        <v>1342</v>
      </c>
      <c r="BD460" s="4" t="s">
        <v>1779</v>
      </c>
    </row>
    <row r="461" spans="54:56">
      <c r="BB461" s="4" t="s">
        <v>1541</v>
      </c>
      <c r="BC461" s="4" t="s">
        <v>1540</v>
      </c>
      <c r="BD461" s="4" t="s">
        <v>1877</v>
      </c>
    </row>
    <row r="462" spans="54:56">
      <c r="BB462" s="4" t="s">
        <v>1881</v>
      </c>
      <c r="BC462" s="4" t="s">
        <v>1880</v>
      </c>
      <c r="BD462" s="4" t="s">
        <v>1877</v>
      </c>
    </row>
    <row r="463" spans="54:56">
      <c r="BB463" s="4" t="s">
        <v>1893</v>
      </c>
      <c r="BC463" s="4" t="s">
        <v>1892</v>
      </c>
      <c r="BD463" s="4" t="s">
        <v>1877</v>
      </c>
    </row>
    <row r="464" spans="54:56">
      <c r="BB464" s="4" t="s">
        <v>1879</v>
      </c>
      <c r="BC464" s="4" t="s">
        <v>1878</v>
      </c>
      <c r="BD464" s="4" t="s">
        <v>1877</v>
      </c>
    </row>
    <row r="465" spans="54:56">
      <c r="BB465" s="4" t="s">
        <v>1885</v>
      </c>
      <c r="BC465" s="4" t="s">
        <v>1884</v>
      </c>
      <c r="BD465" s="4" t="s">
        <v>1877</v>
      </c>
    </row>
    <row r="466" spans="54:56">
      <c r="BB466" s="4" t="s">
        <v>1883</v>
      </c>
      <c r="BC466" s="4" t="s">
        <v>1882</v>
      </c>
      <c r="BD466" s="4" t="s">
        <v>1877</v>
      </c>
    </row>
    <row r="467" spans="54:56">
      <c r="BB467" s="4" t="s">
        <v>1886</v>
      </c>
      <c r="BC467" s="4" t="s">
        <v>1877</v>
      </c>
      <c r="BD467" s="4" t="s">
        <v>1877</v>
      </c>
    </row>
    <row r="468" spans="54:56">
      <c r="BB468" s="4" t="s">
        <v>1895</v>
      </c>
      <c r="BC468" s="4" t="s">
        <v>1894</v>
      </c>
      <c r="BD468" s="4" t="s">
        <v>1877</v>
      </c>
    </row>
    <row r="469" spans="54:56">
      <c r="BB469" s="4" t="s">
        <v>1891</v>
      </c>
      <c r="BC469" s="4" t="s">
        <v>1890</v>
      </c>
      <c r="BD469" s="4" t="s">
        <v>1877</v>
      </c>
    </row>
    <row r="470" spans="54:56">
      <c r="BB470" s="4" t="s">
        <v>1888</v>
      </c>
      <c r="BC470" s="4" t="s">
        <v>1887</v>
      </c>
      <c r="BD470" s="4" t="s">
        <v>1877</v>
      </c>
    </row>
    <row r="471" spans="54:56">
      <c r="BB471" s="4" t="s">
        <v>1889</v>
      </c>
      <c r="BC471" s="4" t="s">
        <v>1887</v>
      </c>
      <c r="BD471" s="4" t="s">
        <v>1877</v>
      </c>
    </row>
    <row r="472" spans="54:56">
      <c r="BB472" s="4" t="s">
        <v>1876</v>
      </c>
      <c r="BC472" s="4" t="s">
        <v>1875</v>
      </c>
      <c r="BD472" s="4" t="s">
        <v>1877</v>
      </c>
    </row>
    <row r="473" spans="54:56">
      <c r="BB473" s="4" t="s">
        <v>1903</v>
      </c>
      <c r="BC473" s="4" t="s">
        <v>1902</v>
      </c>
      <c r="BD473" s="4" t="s">
        <v>391</v>
      </c>
    </row>
    <row r="474" spans="54:56">
      <c r="BB474" s="4" t="s">
        <v>392</v>
      </c>
      <c r="BC474" s="4" t="s">
        <v>391</v>
      </c>
      <c r="BD474" s="4" t="s">
        <v>391</v>
      </c>
    </row>
    <row r="475" spans="54:56">
      <c r="BB475" s="4" t="s">
        <v>1900</v>
      </c>
      <c r="BC475" s="4" t="s">
        <v>391</v>
      </c>
      <c r="BD475" s="4" t="s">
        <v>391</v>
      </c>
    </row>
    <row r="476" spans="54:56">
      <c r="BB476" s="4" t="s">
        <v>1901</v>
      </c>
      <c r="BC476" s="4" t="s">
        <v>391</v>
      </c>
      <c r="BD476" s="4" t="s">
        <v>391</v>
      </c>
    </row>
    <row r="477" spans="54:56">
      <c r="BB477" s="4" t="s">
        <v>2013</v>
      </c>
      <c r="BC477" s="4" t="s">
        <v>391</v>
      </c>
      <c r="BD477" s="4" t="s">
        <v>391</v>
      </c>
    </row>
    <row r="478" spans="54:56">
      <c r="BB478" s="4" t="s">
        <v>1905</v>
      </c>
      <c r="BC478" s="4" t="s">
        <v>1904</v>
      </c>
      <c r="BD478" s="4" t="s">
        <v>391</v>
      </c>
    </row>
    <row r="479" spans="54:56">
      <c r="BB479" s="4" t="s">
        <v>1897</v>
      </c>
      <c r="BC479" s="4" t="s">
        <v>1896</v>
      </c>
      <c r="BD479" s="4" t="s">
        <v>1896</v>
      </c>
    </row>
    <row r="480" spans="54:56">
      <c r="BB480" s="4" t="s">
        <v>1898</v>
      </c>
      <c r="BC480" s="4" t="s">
        <v>1896</v>
      </c>
      <c r="BD480" s="4" t="s">
        <v>1896</v>
      </c>
    </row>
    <row r="481" spans="54:56">
      <c r="BB481" s="4" t="s">
        <v>1899</v>
      </c>
      <c r="BC481" s="4" t="s">
        <v>1896</v>
      </c>
      <c r="BD481" s="4" t="s">
        <v>1896</v>
      </c>
    </row>
    <row r="482" spans="54:56">
      <c r="BB482" s="4" t="s">
        <v>1542</v>
      </c>
      <c r="BC482" s="4" t="s">
        <v>1896</v>
      </c>
      <c r="BD482" s="4" t="s">
        <v>1896</v>
      </c>
    </row>
    <row r="483" spans="54:56">
      <c r="BB483" s="4" t="s">
        <v>1927</v>
      </c>
      <c r="BC483" s="4" t="s">
        <v>1926</v>
      </c>
      <c r="BD483" s="4" t="s">
        <v>1926</v>
      </c>
    </row>
    <row r="484" spans="54:56">
      <c r="BB484" s="4" t="s">
        <v>1928</v>
      </c>
      <c r="BC484" s="4" t="s">
        <v>1926</v>
      </c>
      <c r="BD484" s="4" t="s">
        <v>1926</v>
      </c>
    </row>
    <row r="485" spans="54:56">
      <c r="BB485" s="4" t="s">
        <v>1345</v>
      </c>
      <c r="BC485" s="4" t="s">
        <v>1344</v>
      </c>
      <c r="BD485" s="4" t="s">
        <v>1926</v>
      </c>
    </row>
    <row r="486" spans="54:56">
      <c r="BB486" s="4" t="s">
        <v>1930</v>
      </c>
      <c r="BC486" s="4" t="s">
        <v>1929</v>
      </c>
      <c r="BD486" s="4" t="s">
        <v>1926</v>
      </c>
    </row>
    <row r="487" spans="54:56">
      <c r="BB487" s="4" t="s">
        <v>782</v>
      </c>
      <c r="BC487" s="4" t="s">
        <v>781</v>
      </c>
      <c r="BD487" s="4" t="s">
        <v>781</v>
      </c>
    </row>
    <row r="488" spans="54:56">
      <c r="BB488" s="4" t="s">
        <v>783</v>
      </c>
      <c r="BC488" s="4" t="s">
        <v>781</v>
      </c>
      <c r="BD488" s="4" t="s">
        <v>781</v>
      </c>
    </row>
    <row r="489" spans="54:56">
      <c r="BB489" s="4" t="s">
        <v>784</v>
      </c>
      <c r="BC489" s="4" t="s">
        <v>781</v>
      </c>
      <c r="BD489" s="4" t="s">
        <v>781</v>
      </c>
    </row>
    <row r="490" spans="54:56">
      <c r="BB490" s="4" t="s">
        <v>785</v>
      </c>
      <c r="BC490" s="4" t="s">
        <v>781</v>
      </c>
      <c r="BD490" s="4" t="s">
        <v>781</v>
      </c>
    </row>
    <row r="491" spans="54:56">
      <c r="BB491" s="4" t="s">
        <v>1357</v>
      </c>
      <c r="BC491" s="4" t="s">
        <v>781</v>
      </c>
      <c r="BD491" s="4" t="s">
        <v>781</v>
      </c>
    </row>
    <row r="492" spans="54:56">
      <c r="BB492" s="4" t="s">
        <v>789</v>
      </c>
      <c r="BC492" s="4" t="s">
        <v>788</v>
      </c>
      <c r="BD492" s="4" t="s">
        <v>781</v>
      </c>
    </row>
    <row r="493" spans="54:56">
      <c r="BB493" s="4" t="s">
        <v>791</v>
      </c>
      <c r="BC493" s="4" t="s">
        <v>790</v>
      </c>
      <c r="BD493" s="4" t="s">
        <v>781</v>
      </c>
    </row>
    <row r="494" spans="54:56">
      <c r="BB494" s="4" t="s">
        <v>787</v>
      </c>
      <c r="BC494" s="4" t="s">
        <v>786</v>
      </c>
      <c r="BD494" s="4" t="s">
        <v>781</v>
      </c>
    </row>
    <row r="495" spans="54:56">
      <c r="BB495" s="4" t="s">
        <v>817</v>
      </c>
      <c r="BC495" s="4" t="s">
        <v>816</v>
      </c>
      <c r="BD495" s="4" t="s">
        <v>816</v>
      </c>
    </row>
    <row r="496" spans="54:56">
      <c r="BB496" s="4" t="s">
        <v>818</v>
      </c>
      <c r="BC496" s="4" t="s">
        <v>816</v>
      </c>
      <c r="BD496" s="4" t="s">
        <v>816</v>
      </c>
    </row>
    <row r="497" spans="54:56">
      <c r="BB497" s="4" t="s">
        <v>1360</v>
      </c>
      <c r="BC497" s="4" t="s">
        <v>816</v>
      </c>
      <c r="BD497" s="4" t="s">
        <v>816</v>
      </c>
    </row>
    <row r="498" spans="54:56">
      <c r="BB498" s="4" t="s">
        <v>823</v>
      </c>
      <c r="BC498" s="4" t="s">
        <v>822</v>
      </c>
      <c r="BD498" s="4" t="s">
        <v>393</v>
      </c>
    </row>
    <row r="499" spans="54:56">
      <c r="BB499" s="4" t="s">
        <v>394</v>
      </c>
      <c r="BC499" s="4" t="s">
        <v>393</v>
      </c>
      <c r="BD499" s="4" t="s">
        <v>393</v>
      </c>
    </row>
    <row r="500" spans="54:56">
      <c r="BB500" s="4" t="s">
        <v>819</v>
      </c>
      <c r="BC500" s="4" t="s">
        <v>393</v>
      </c>
      <c r="BD500" s="4" t="s">
        <v>393</v>
      </c>
    </row>
    <row r="501" spans="54:56">
      <c r="BB501" s="4" t="s">
        <v>824</v>
      </c>
      <c r="BC501" s="4" t="s">
        <v>393</v>
      </c>
      <c r="BD501" s="4" t="s">
        <v>393</v>
      </c>
    </row>
    <row r="502" spans="54:56">
      <c r="BB502" s="4" t="s">
        <v>825</v>
      </c>
      <c r="BC502" s="4" t="s">
        <v>393</v>
      </c>
      <c r="BD502" s="4" t="s">
        <v>393</v>
      </c>
    </row>
    <row r="503" spans="54:56">
      <c r="BB503" s="4" t="s">
        <v>828</v>
      </c>
      <c r="BC503" s="4" t="s">
        <v>393</v>
      </c>
      <c r="BD503" s="4" t="s">
        <v>393</v>
      </c>
    </row>
    <row r="504" spans="54:56">
      <c r="BB504" s="4" t="s">
        <v>2014</v>
      </c>
      <c r="BC504" s="4" t="s">
        <v>393</v>
      </c>
      <c r="BD504" s="4" t="s">
        <v>393</v>
      </c>
    </row>
    <row r="505" spans="54:56">
      <c r="BB505" s="4" t="s">
        <v>1352</v>
      </c>
      <c r="BC505" s="4" t="s">
        <v>393</v>
      </c>
      <c r="BD505" s="4" t="s">
        <v>393</v>
      </c>
    </row>
    <row r="506" spans="54:56">
      <c r="BB506" s="4" t="s">
        <v>821</v>
      </c>
      <c r="BC506" s="4" t="s">
        <v>820</v>
      </c>
      <c r="BD506" s="4" t="s">
        <v>393</v>
      </c>
    </row>
    <row r="507" spans="54:56">
      <c r="BB507" s="4" t="s">
        <v>827</v>
      </c>
      <c r="BC507" s="4" t="s">
        <v>826</v>
      </c>
      <c r="BD507" s="4" t="s">
        <v>393</v>
      </c>
    </row>
    <row r="508" spans="54:56">
      <c r="BB508" s="4" t="s">
        <v>203</v>
      </c>
      <c r="BC508" s="4" t="s">
        <v>202</v>
      </c>
      <c r="BD508" s="4" t="s">
        <v>202</v>
      </c>
    </row>
    <row r="509" spans="54:56">
      <c r="BB509" s="4" t="s">
        <v>204</v>
      </c>
      <c r="BC509" s="4" t="s">
        <v>202</v>
      </c>
      <c r="BD509" s="4" t="s">
        <v>202</v>
      </c>
    </row>
    <row r="510" spans="54:56">
      <c r="BB510" s="4" t="s">
        <v>206</v>
      </c>
      <c r="BC510" s="4" t="s">
        <v>205</v>
      </c>
      <c r="BD510" s="4" t="s">
        <v>202</v>
      </c>
    </row>
    <row r="511" spans="54:56">
      <c r="BB511" s="4" t="s">
        <v>212</v>
      </c>
      <c r="BC511" s="4" t="s">
        <v>211</v>
      </c>
      <c r="BD511" s="4" t="s">
        <v>202</v>
      </c>
    </row>
    <row r="512" spans="54:56">
      <c r="BB512" s="4" t="s">
        <v>208</v>
      </c>
      <c r="BC512" s="4" t="s">
        <v>207</v>
      </c>
      <c r="BD512" s="4" t="s">
        <v>202</v>
      </c>
    </row>
    <row r="513" spans="54:56">
      <c r="BB513" s="4" t="s">
        <v>210</v>
      </c>
      <c r="BC513" s="4" t="s">
        <v>209</v>
      </c>
      <c r="BD513" s="4" t="s">
        <v>202</v>
      </c>
    </row>
    <row r="514" spans="54:56">
      <c r="BB514" s="4" t="s">
        <v>222</v>
      </c>
      <c r="BC514" s="4" t="s">
        <v>221</v>
      </c>
      <c r="BD514" s="4" t="s">
        <v>215</v>
      </c>
    </row>
    <row r="515" spans="54:56">
      <c r="BB515" s="4" t="s">
        <v>218</v>
      </c>
      <c r="BC515" s="4" t="s">
        <v>217</v>
      </c>
      <c r="BD515" s="4" t="s">
        <v>215</v>
      </c>
    </row>
    <row r="516" spans="54:56">
      <c r="BB516" s="4" t="s">
        <v>227</v>
      </c>
      <c r="BC516" s="4" t="s">
        <v>226</v>
      </c>
      <c r="BD516" s="4" t="s">
        <v>215</v>
      </c>
    </row>
    <row r="517" spans="54:56">
      <c r="BB517" s="4" t="s">
        <v>220</v>
      </c>
      <c r="BC517" s="4" t="s">
        <v>219</v>
      </c>
      <c r="BD517" s="4" t="s">
        <v>215</v>
      </c>
    </row>
    <row r="518" spans="54:56">
      <c r="BB518" s="4" t="s">
        <v>214</v>
      </c>
      <c r="BC518" s="4" t="s">
        <v>213</v>
      </c>
      <c r="BD518" s="4" t="s">
        <v>215</v>
      </c>
    </row>
    <row r="519" spans="54:56">
      <c r="BB519" s="4" t="s">
        <v>216</v>
      </c>
      <c r="BC519" s="4" t="s">
        <v>213</v>
      </c>
      <c r="BD519" s="4" t="s">
        <v>215</v>
      </c>
    </row>
    <row r="520" spans="54:56">
      <c r="BB520" s="4" t="s">
        <v>225</v>
      </c>
      <c r="BC520" s="4" t="s">
        <v>213</v>
      </c>
      <c r="BD520" s="4" t="s">
        <v>215</v>
      </c>
    </row>
    <row r="521" spans="54:56">
      <c r="BB521" s="4" t="s">
        <v>228</v>
      </c>
      <c r="BC521" s="4" t="s">
        <v>213</v>
      </c>
      <c r="BD521" s="4" t="s">
        <v>215</v>
      </c>
    </row>
    <row r="522" spans="54:56">
      <c r="BB522" s="4" t="s">
        <v>224</v>
      </c>
      <c r="BC522" s="4" t="s">
        <v>223</v>
      </c>
      <c r="BD522" s="4" t="s">
        <v>215</v>
      </c>
    </row>
    <row r="523" spans="54:56">
      <c r="BB523" s="4" t="s">
        <v>253</v>
      </c>
      <c r="BC523" s="4" t="s">
        <v>252</v>
      </c>
      <c r="BD523" s="4" t="s">
        <v>231</v>
      </c>
    </row>
    <row r="524" spans="54:56">
      <c r="BB524" s="4" t="s">
        <v>251</v>
      </c>
      <c r="BC524" s="4" t="s">
        <v>250</v>
      </c>
      <c r="BD524" s="4" t="s">
        <v>231</v>
      </c>
    </row>
    <row r="525" spans="54:56">
      <c r="BB525" s="4" t="s">
        <v>263</v>
      </c>
      <c r="BC525" s="4" t="s">
        <v>262</v>
      </c>
      <c r="BD525" s="4" t="s">
        <v>231</v>
      </c>
    </row>
    <row r="526" spans="54:56">
      <c r="BB526" s="4" t="s">
        <v>245</v>
      </c>
      <c r="BC526" s="4" t="s">
        <v>244</v>
      </c>
      <c r="BD526" s="4" t="s">
        <v>231</v>
      </c>
    </row>
    <row r="527" spans="54:56">
      <c r="BB527" s="4" t="s">
        <v>257</v>
      </c>
      <c r="BC527" s="4" t="s">
        <v>256</v>
      </c>
      <c r="BD527" s="4" t="s">
        <v>231</v>
      </c>
    </row>
    <row r="528" spans="54:56">
      <c r="BB528" s="4" t="s">
        <v>237</v>
      </c>
      <c r="BC528" s="4" t="s">
        <v>231</v>
      </c>
      <c r="BD528" s="4" t="s">
        <v>231</v>
      </c>
    </row>
    <row r="529" spans="54:56">
      <c r="BB529" s="4" t="s">
        <v>264</v>
      </c>
      <c r="BC529" s="4" t="s">
        <v>231</v>
      </c>
      <c r="BD529" s="4" t="s">
        <v>231</v>
      </c>
    </row>
    <row r="530" spans="54:56">
      <c r="BB530" s="4" t="s">
        <v>247</v>
      </c>
      <c r="BC530" s="4" t="s">
        <v>246</v>
      </c>
      <c r="BD530" s="4" t="s">
        <v>231</v>
      </c>
    </row>
    <row r="531" spans="54:56">
      <c r="BB531" s="4" t="s">
        <v>230</v>
      </c>
      <c r="BC531" s="4" t="s">
        <v>229</v>
      </c>
      <c r="BD531" s="4" t="s">
        <v>231</v>
      </c>
    </row>
    <row r="532" spans="54:56">
      <c r="BB532" s="4" t="s">
        <v>232</v>
      </c>
      <c r="BC532" s="4" t="s">
        <v>229</v>
      </c>
      <c r="BD532" s="4" t="s">
        <v>231</v>
      </c>
    </row>
    <row r="533" spans="54:56">
      <c r="BB533" s="4" t="s">
        <v>233</v>
      </c>
      <c r="BC533" s="4" t="s">
        <v>229</v>
      </c>
      <c r="BD533" s="4" t="s">
        <v>231</v>
      </c>
    </row>
    <row r="534" spans="54:56">
      <c r="BB534" s="4" t="s">
        <v>234</v>
      </c>
      <c r="BC534" s="4" t="s">
        <v>229</v>
      </c>
      <c r="BD534" s="4" t="s">
        <v>231</v>
      </c>
    </row>
    <row r="535" spans="54:56">
      <c r="BB535" s="4" t="s">
        <v>235</v>
      </c>
      <c r="BC535" s="4" t="s">
        <v>229</v>
      </c>
      <c r="BD535" s="4" t="s">
        <v>231</v>
      </c>
    </row>
    <row r="536" spans="54:56">
      <c r="BB536" s="4" t="s">
        <v>236</v>
      </c>
      <c r="BC536" s="4" t="s">
        <v>229</v>
      </c>
      <c r="BD536" s="4" t="s">
        <v>231</v>
      </c>
    </row>
    <row r="537" spans="54:56">
      <c r="BB537" s="4" t="s">
        <v>238</v>
      </c>
      <c r="BC537" s="4" t="s">
        <v>229</v>
      </c>
      <c r="BD537" s="4" t="s">
        <v>231</v>
      </c>
    </row>
    <row r="538" spans="54:56">
      <c r="BB538" s="4" t="s">
        <v>239</v>
      </c>
      <c r="BC538" s="4" t="s">
        <v>229</v>
      </c>
      <c r="BD538" s="4" t="s">
        <v>231</v>
      </c>
    </row>
    <row r="539" spans="54:56">
      <c r="BB539" s="4" t="s">
        <v>240</v>
      </c>
      <c r="BC539" s="4" t="s">
        <v>229</v>
      </c>
      <c r="BD539" s="4" t="s">
        <v>231</v>
      </c>
    </row>
    <row r="540" spans="54:56">
      <c r="BB540" s="4" t="s">
        <v>241</v>
      </c>
      <c r="BC540" s="4" t="s">
        <v>229</v>
      </c>
      <c r="BD540" s="4" t="s">
        <v>231</v>
      </c>
    </row>
    <row r="541" spans="54:56">
      <c r="BB541" s="4" t="s">
        <v>248</v>
      </c>
      <c r="BC541" s="4" t="s">
        <v>229</v>
      </c>
      <c r="BD541" s="4" t="s">
        <v>231</v>
      </c>
    </row>
    <row r="542" spans="54:56">
      <c r="BB542" s="4" t="s">
        <v>267</v>
      </c>
      <c r="BC542" s="4" t="s">
        <v>229</v>
      </c>
      <c r="BD542" s="4" t="s">
        <v>231</v>
      </c>
    </row>
    <row r="543" spans="54:56">
      <c r="BB543" s="4" t="s">
        <v>301</v>
      </c>
      <c r="BC543" s="4" t="s">
        <v>229</v>
      </c>
      <c r="BD543" s="4" t="s">
        <v>231</v>
      </c>
    </row>
    <row r="544" spans="54:56">
      <c r="BB544" s="4" t="s">
        <v>302</v>
      </c>
      <c r="BC544" s="4" t="s">
        <v>229</v>
      </c>
      <c r="BD544" s="4" t="s">
        <v>231</v>
      </c>
    </row>
    <row r="545" spans="54:56">
      <c r="BB545" s="4" t="s">
        <v>303</v>
      </c>
      <c r="BC545" s="4" t="s">
        <v>229</v>
      </c>
      <c r="BD545" s="4" t="s">
        <v>231</v>
      </c>
    </row>
    <row r="546" spans="54:56">
      <c r="BB546" s="4" t="s">
        <v>387</v>
      </c>
      <c r="BC546" s="4" t="s">
        <v>229</v>
      </c>
      <c r="BD546" s="4" t="s">
        <v>231</v>
      </c>
    </row>
    <row r="547" spans="54:56">
      <c r="BB547" s="4" t="s">
        <v>1050</v>
      </c>
      <c r="BC547" s="4" t="s">
        <v>229</v>
      </c>
      <c r="BD547" s="4" t="s">
        <v>231</v>
      </c>
    </row>
    <row r="548" spans="54:56">
      <c r="BB548" s="4" t="s">
        <v>1051</v>
      </c>
      <c r="BC548" s="4" t="s">
        <v>229</v>
      </c>
      <c r="BD548" s="4" t="s">
        <v>231</v>
      </c>
    </row>
    <row r="549" spans="54:56">
      <c r="BB549" s="4" t="s">
        <v>1572</v>
      </c>
      <c r="BC549" s="4" t="s">
        <v>229</v>
      </c>
      <c r="BD549" s="4" t="s">
        <v>231</v>
      </c>
    </row>
    <row r="550" spans="54:56">
      <c r="BB550" s="4" t="s">
        <v>2015</v>
      </c>
      <c r="BC550" s="4" t="s">
        <v>229</v>
      </c>
      <c r="BD550" s="4" t="s">
        <v>231</v>
      </c>
    </row>
    <row r="551" spans="54:56">
      <c r="BB551" s="4" t="s">
        <v>259</v>
      </c>
      <c r="BC551" s="4" t="s">
        <v>258</v>
      </c>
      <c r="BD551" s="4" t="s">
        <v>231</v>
      </c>
    </row>
    <row r="552" spans="54:56">
      <c r="BB552" s="4" t="s">
        <v>261</v>
      </c>
      <c r="BC552" s="4" t="s">
        <v>260</v>
      </c>
      <c r="BD552" s="4" t="s">
        <v>231</v>
      </c>
    </row>
    <row r="553" spans="54:56">
      <c r="BB553" s="4" t="s">
        <v>243</v>
      </c>
      <c r="BC553" s="4" t="s">
        <v>242</v>
      </c>
      <c r="BD553" s="4" t="s">
        <v>231</v>
      </c>
    </row>
    <row r="554" spans="54:56">
      <c r="BB554" s="4" t="s">
        <v>255</v>
      </c>
      <c r="BC554" s="4" t="s">
        <v>254</v>
      </c>
      <c r="BD554" s="4" t="s">
        <v>231</v>
      </c>
    </row>
    <row r="555" spans="54:56">
      <c r="BB555" s="4" t="s">
        <v>277</v>
      </c>
      <c r="BC555" s="4" t="s">
        <v>276</v>
      </c>
      <c r="BD555" s="4" t="s">
        <v>274</v>
      </c>
    </row>
    <row r="556" spans="54:56">
      <c r="BB556" s="4" t="s">
        <v>273</v>
      </c>
      <c r="BC556" s="4" t="s">
        <v>272</v>
      </c>
      <c r="BD556" s="4" t="s">
        <v>274</v>
      </c>
    </row>
    <row r="557" spans="54:56">
      <c r="BB557" s="4" t="s">
        <v>275</v>
      </c>
      <c r="BC557" s="4" t="s">
        <v>272</v>
      </c>
      <c r="BD557" s="4" t="s">
        <v>274</v>
      </c>
    </row>
    <row r="558" spans="54:56">
      <c r="BB558" s="4" t="s">
        <v>280</v>
      </c>
      <c r="BC558" s="4" t="s">
        <v>274</v>
      </c>
      <c r="BD558" s="4" t="s">
        <v>274</v>
      </c>
    </row>
    <row r="559" spans="54:56">
      <c r="BB559" s="4" t="s">
        <v>279</v>
      </c>
      <c r="BC559" s="4" t="s">
        <v>278</v>
      </c>
      <c r="BD559" s="4" t="s">
        <v>274</v>
      </c>
    </row>
    <row r="560" spans="54:56">
      <c r="BB560" s="4" t="s">
        <v>282</v>
      </c>
      <c r="BC560" s="4" t="s">
        <v>281</v>
      </c>
      <c r="BD560" s="4" t="s">
        <v>274</v>
      </c>
    </row>
    <row r="561" spans="54:56">
      <c r="BB561" s="4" t="s">
        <v>266</v>
      </c>
      <c r="BC561" s="4" t="s">
        <v>265</v>
      </c>
      <c r="BD561" s="4" t="s">
        <v>265</v>
      </c>
    </row>
    <row r="562" spans="54:56">
      <c r="BB562" s="4" t="s">
        <v>268</v>
      </c>
      <c r="BC562" s="4" t="s">
        <v>265</v>
      </c>
      <c r="BD562" s="4" t="s">
        <v>265</v>
      </c>
    </row>
    <row r="563" spans="54:56">
      <c r="BB563" s="4" t="s">
        <v>269</v>
      </c>
      <c r="BC563" s="4" t="s">
        <v>265</v>
      </c>
      <c r="BD563" s="4" t="s">
        <v>265</v>
      </c>
    </row>
    <row r="564" spans="54:56">
      <c r="BB564" s="4" t="s">
        <v>270</v>
      </c>
      <c r="BC564" s="4" t="s">
        <v>265</v>
      </c>
      <c r="BD564" s="4" t="s">
        <v>265</v>
      </c>
    </row>
    <row r="565" spans="54:56">
      <c r="BB565" s="4" t="s">
        <v>271</v>
      </c>
      <c r="BC565" s="4" t="s">
        <v>265</v>
      </c>
      <c r="BD565" s="4" t="s">
        <v>265</v>
      </c>
    </row>
    <row r="566" spans="54:56">
      <c r="BB566" s="4" t="s">
        <v>1187</v>
      </c>
      <c r="BC566" s="4" t="s">
        <v>265</v>
      </c>
      <c r="BD566" s="4" t="s">
        <v>265</v>
      </c>
    </row>
    <row r="567" spans="54:56">
      <c r="BB567" s="4" t="s">
        <v>1196</v>
      </c>
      <c r="BC567" s="4" t="s">
        <v>265</v>
      </c>
      <c r="BD567" s="4" t="s">
        <v>265</v>
      </c>
    </row>
    <row r="568" spans="54:56">
      <c r="BB568" s="4" t="s">
        <v>290</v>
      </c>
      <c r="BC568" s="4" t="s">
        <v>289</v>
      </c>
      <c r="BD568" s="4" t="s">
        <v>283</v>
      </c>
    </row>
    <row r="569" spans="54:56">
      <c r="BB569" s="4" t="s">
        <v>284</v>
      </c>
      <c r="BC569" s="4" t="s">
        <v>283</v>
      </c>
      <c r="BD569" s="4" t="s">
        <v>283</v>
      </c>
    </row>
    <row r="570" spans="54:56">
      <c r="BB570" s="4" t="s">
        <v>285</v>
      </c>
      <c r="BC570" s="4" t="s">
        <v>283</v>
      </c>
      <c r="BD570" s="4" t="s">
        <v>283</v>
      </c>
    </row>
    <row r="571" spans="54:56">
      <c r="BB571" s="4" t="s">
        <v>288</v>
      </c>
      <c r="BC571" s="4" t="s">
        <v>283</v>
      </c>
      <c r="BD571" s="4" t="s">
        <v>283</v>
      </c>
    </row>
    <row r="572" spans="54:56">
      <c r="BB572" s="4" t="s">
        <v>291</v>
      </c>
      <c r="BC572" s="4" t="s">
        <v>283</v>
      </c>
      <c r="BD572" s="4" t="s">
        <v>283</v>
      </c>
    </row>
    <row r="573" spans="54:56">
      <c r="BB573" s="4" t="s">
        <v>294</v>
      </c>
      <c r="BC573" s="4" t="s">
        <v>283</v>
      </c>
      <c r="BD573" s="4" t="s">
        <v>283</v>
      </c>
    </row>
    <row r="574" spans="54:56">
      <c r="BB574" s="4" t="s">
        <v>390</v>
      </c>
      <c r="BC574" s="4" t="s">
        <v>283</v>
      </c>
      <c r="BD574" s="4" t="s">
        <v>283</v>
      </c>
    </row>
    <row r="575" spans="54:56">
      <c r="BB575" s="4" t="s">
        <v>1485</v>
      </c>
      <c r="BC575" s="4" t="s">
        <v>283</v>
      </c>
      <c r="BD575" s="4" t="s">
        <v>283</v>
      </c>
    </row>
    <row r="576" spans="54:56">
      <c r="BB576" s="4" t="s">
        <v>2016</v>
      </c>
      <c r="BC576" s="4" t="s">
        <v>283</v>
      </c>
      <c r="BD576" s="4" t="s">
        <v>283</v>
      </c>
    </row>
    <row r="577" spans="54:56">
      <c r="BB577" s="4" t="s">
        <v>1386</v>
      </c>
      <c r="BC577" s="4" t="s">
        <v>283</v>
      </c>
      <c r="BD577" s="4" t="s">
        <v>283</v>
      </c>
    </row>
    <row r="578" spans="54:56">
      <c r="BB578" s="4" t="s">
        <v>287</v>
      </c>
      <c r="BC578" s="4" t="s">
        <v>286</v>
      </c>
      <c r="BD578" s="4" t="s">
        <v>283</v>
      </c>
    </row>
    <row r="579" spans="54:56">
      <c r="BB579" s="4" t="s">
        <v>293</v>
      </c>
      <c r="BC579" s="4" t="s">
        <v>292</v>
      </c>
      <c r="BD579" s="4" t="s">
        <v>283</v>
      </c>
    </row>
    <row r="580" spans="54:56">
      <c r="BB580" s="4" t="s">
        <v>296</v>
      </c>
      <c r="BC580" s="4" t="s">
        <v>295</v>
      </c>
      <c r="BD580" s="4" t="s">
        <v>295</v>
      </c>
    </row>
    <row r="581" spans="54:56">
      <c r="BB581" s="4" t="s">
        <v>297</v>
      </c>
      <c r="BC581" s="4" t="s">
        <v>295</v>
      </c>
      <c r="BD581" s="4" t="s">
        <v>295</v>
      </c>
    </row>
    <row r="582" spans="54:56">
      <c r="BB582" s="4" t="s">
        <v>298</v>
      </c>
      <c r="BC582" s="4" t="s">
        <v>295</v>
      </c>
      <c r="BD582" s="4" t="s">
        <v>295</v>
      </c>
    </row>
    <row r="583" spans="54:56">
      <c r="BB583" s="4" t="s">
        <v>299</v>
      </c>
      <c r="BC583" s="4" t="s">
        <v>295</v>
      </c>
      <c r="BD583" s="4" t="s">
        <v>295</v>
      </c>
    </row>
    <row r="584" spans="54:56">
      <c r="BB584" s="4" t="s">
        <v>300</v>
      </c>
      <c r="BC584" s="4" t="s">
        <v>295</v>
      </c>
      <c r="BD584" s="4" t="s">
        <v>295</v>
      </c>
    </row>
    <row r="585" spans="54:56">
      <c r="BB585" s="4" t="s">
        <v>1188</v>
      </c>
      <c r="BC585" s="4" t="s">
        <v>295</v>
      </c>
      <c r="BD585" s="4" t="s">
        <v>295</v>
      </c>
    </row>
    <row r="586" spans="54:56">
      <c r="BB586" s="4" t="s">
        <v>471</v>
      </c>
      <c r="BC586" s="4" t="s">
        <v>470</v>
      </c>
      <c r="BD586" s="4" t="s">
        <v>470</v>
      </c>
    </row>
    <row r="587" spans="54:56">
      <c r="BB587" s="4" t="s">
        <v>472</v>
      </c>
      <c r="BC587" s="4" t="s">
        <v>470</v>
      </c>
      <c r="BD587" s="4" t="s">
        <v>470</v>
      </c>
    </row>
    <row r="588" spans="54:56">
      <c r="BB588" s="4" t="s">
        <v>477</v>
      </c>
      <c r="BC588" s="4" t="s">
        <v>470</v>
      </c>
      <c r="BD588" s="4" t="s">
        <v>470</v>
      </c>
    </row>
    <row r="589" spans="54:56">
      <c r="BB589" s="4" t="s">
        <v>476</v>
      </c>
      <c r="BC589" s="4" t="s">
        <v>475</v>
      </c>
      <c r="BD589" s="4" t="s">
        <v>470</v>
      </c>
    </row>
    <row r="590" spans="54:56">
      <c r="BB590" s="4" t="s">
        <v>474</v>
      </c>
      <c r="BC590" s="4" t="s">
        <v>473</v>
      </c>
      <c r="BD590" s="4" t="s">
        <v>470</v>
      </c>
    </row>
    <row r="591" spans="54:56">
      <c r="BB591" s="4" t="s">
        <v>467</v>
      </c>
      <c r="BC591" s="4" t="s">
        <v>466</v>
      </c>
      <c r="BD591" s="4" t="s">
        <v>464</v>
      </c>
    </row>
    <row r="592" spans="54:56">
      <c r="BB592" s="4" t="s">
        <v>463</v>
      </c>
      <c r="BC592" s="4" t="s">
        <v>462</v>
      </c>
      <c r="BD592" s="4" t="s">
        <v>464</v>
      </c>
    </row>
    <row r="593" spans="54:56">
      <c r="BB593" s="4" t="s">
        <v>465</v>
      </c>
      <c r="BC593" s="4" t="s">
        <v>462</v>
      </c>
      <c r="BD593" s="4" t="s">
        <v>464</v>
      </c>
    </row>
    <row r="594" spans="54:56">
      <c r="BB594" s="4" t="s">
        <v>469</v>
      </c>
      <c r="BC594" s="4" t="s">
        <v>468</v>
      </c>
      <c r="BD594" s="4" t="s">
        <v>464</v>
      </c>
    </row>
    <row r="595" spans="54:56">
      <c r="BB595" s="4" t="s">
        <v>507</v>
      </c>
      <c r="BC595" s="4" t="s">
        <v>506</v>
      </c>
      <c r="BD595" s="4" t="s">
        <v>11</v>
      </c>
    </row>
    <row r="596" spans="54:56">
      <c r="BB596" s="4" t="s">
        <v>497</v>
      </c>
      <c r="BC596" s="4" t="s">
        <v>496</v>
      </c>
      <c r="BD596" s="4" t="s">
        <v>11</v>
      </c>
    </row>
    <row r="597" spans="54:56">
      <c r="BB597" s="4" t="s">
        <v>499</v>
      </c>
      <c r="BC597" s="4" t="s">
        <v>498</v>
      </c>
      <c r="BD597" s="4" t="s">
        <v>11</v>
      </c>
    </row>
    <row r="598" spans="54:56">
      <c r="BB598" s="4" t="s">
        <v>503</v>
      </c>
      <c r="BC598" s="4" t="s">
        <v>502</v>
      </c>
      <c r="BD598" s="4" t="s">
        <v>11</v>
      </c>
    </row>
    <row r="599" spans="54:56">
      <c r="BB599" s="4" t="s">
        <v>501</v>
      </c>
      <c r="BC599" s="4" t="s">
        <v>500</v>
      </c>
      <c r="BD599" s="4" t="s">
        <v>11</v>
      </c>
    </row>
    <row r="600" spans="54:56">
      <c r="BB600" s="4" t="s">
        <v>505</v>
      </c>
      <c r="BC600" s="4" t="s">
        <v>504</v>
      </c>
      <c r="BD600" s="4" t="s">
        <v>11</v>
      </c>
    </row>
    <row r="601" spans="54:56">
      <c r="BB601" s="4" t="s">
        <v>495</v>
      </c>
      <c r="BC601" s="4" t="s">
        <v>494</v>
      </c>
      <c r="BD601" s="4" t="s">
        <v>11</v>
      </c>
    </row>
    <row r="602" spans="54:56">
      <c r="BB602" s="4" t="s">
        <v>12</v>
      </c>
      <c r="BC602" s="4" t="s">
        <v>11</v>
      </c>
      <c r="BD602" s="4" t="s">
        <v>11</v>
      </c>
    </row>
    <row r="603" spans="54:56">
      <c r="BB603" s="4" t="s">
        <v>396</v>
      </c>
      <c r="BC603" s="4" t="s">
        <v>11</v>
      </c>
      <c r="BD603" s="4" t="s">
        <v>11</v>
      </c>
    </row>
    <row r="604" spans="54:56">
      <c r="BB604" s="4" t="s">
        <v>492</v>
      </c>
      <c r="BC604" s="4" t="s">
        <v>11</v>
      </c>
      <c r="BD604" s="4" t="s">
        <v>11</v>
      </c>
    </row>
    <row r="605" spans="54:56">
      <c r="BB605" s="4" t="s">
        <v>493</v>
      </c>
      <c r="BC605" s="4" t="s">
        <v>11</v>
      </c>
      <c r="BD605" s="4" t="s">
        <v>11</v>
      </c>
    </row>
    <row r="606" spans="54:56">
      <c r="BB606" s="4" t="s">
        <v>2017</v>
      </c>
      <c r="BC606" s="4" t="s">
        <v>11</v>
      </c>
      <c r="BD606" s="4" t="s">
        <v>11</v>
      </c>
    </row>
    <row r="607" spans="54:56">
      <c r="BB607" s="4" t="s">
        <v>479</v>
      </c>
      <c r="BC607" s="4" t="s">
        <v>478</v>
      </c>
      <c r="BD607" s="4" t="s">
        <v>478</v>
      </c>
    </row>
    <row r="608" spans="54:56">
      <c r="BB608" s="4" t="s">
        <v>480</v>
      </c>
      <c r="BC608" s="4" t="s">
        <v>478</v>
      </c>
      <c r="BD608" s="4" t="s">
        <v>478</v>
      </c>
    </row>
    <row r="609" spans="54:56">
      <c r="BB609" s="4" t="s">
        <v>485</v>
      </c>
      <c r="BC609" s="4" t="s">
        <v>478</v>
      </c>
      <c r="BD609" s="4" t="s">
        <v>478</v>
      </c>
    </row>
    <row r="610" spans="54:56">
      <c r="BB610" s="4" t="s">
        <v>482</v>
      </c>
      <c r="BC610" s="4" t="s">
        <v>481</v>
      </c>
      <c r="BD610" s="4" t="s">
        <v>478</v>
      </c>
    </row>
    <row r="611" spans="54:56">
      <c r="BB611" s="4" t="s">
        <v>486</v>
      </c>
      <c r="BC611" s="4" t="s">
        <v>2018</v>
      </c>
      <c r="BD611" s="4" t="s">
        <v>478</v>
      </c>
    </row>
    <row r="612" spans="54:56">
      <c r="BB612" s="4" t="s">
        <v>484</v>
      </c>
      <c r="BC612" s="4" t="s">
        <v>483</v>
      </c>
      <c r="BD612" s="4" t="s">
        <v>478</v>
      </c>
    </row>
    <row r="613" spans="54:56">
      <c r="BB613" s="4" t="s">
        <v>487</v>
      </c>
      <c r="BC613" s="4" t="s">
        <v>2019</v>
      </c>
      <c r="BD613" s="4" t="s">
        <v>478</v>
      </c>
    </row>
    <row r="614" spans="54:56">
      <c r="BB614" s="4" t="s">
        <v>352</v>
      </c>
      <c r="BC614" s="4" t="s">
        <v>351</v>
      </c>
      <c r="BD614" s="4" t="s">
        <v>351</v>
      </c>
    </row>
    <row r="615" spans="54:56">
      <c r="BB615" s="4" t="s">
        <v>353</v>
      </c>
      <c r="BC615" s="4" t="s">
        <v>351</v>
      </c>
      <c r="BD615" s="4" t="s">
        <v>351</v>
      </c>
    </row>
    <row r="616" spans="54:56">
      <c r="BB616" s="4" t="s">
        <v>354</v>
      </c>
      <c r="BC616" s="4" t="s">
        <v>351</v>
      </c>
      <c r="BD616" s="4" t="s">
        <v>351</v>
      </c>
    </row>
    <row r="617" spans="54:56">
      <c r="BB617" s="4" t="s">
        <v>362</v>
      </c>
      <c r="BC617" s="4" t="s">
        <v>351</v>
      </c>
      <c r="BD617" s="4" t="s">
        <v>351</v>
      </c>
    </row>
    <row r="618" spans="54:56">
      <c r="BB618" s="4" t="s">
        <v>365</v>
      </c>
      <c r="BC618" s="4" t="s">
        <v>351</v>
      </c>
      <c r="BD618" s="4" t="s">
        <v>351</v>
      </c>
    </row>
    <row r="619" spans="54:56">
      <c r="BB619" s="4" t="s">
        <v>380</v>
      </c>
      <c r="BC619" s="4" t="s">
        <v>351</v>
      </c>
      <c r="BD619" s="4" t="s">
        <v>351</v>
      </c>
    </row>
    <row r="620" spans="54:56">
      <c r="BB620" s="4" t="s">
        <v>2020</v>
      </c>
      <c r="BC620" s="4" t="s">
        <v>351</v>
      </c>
      <c r="BD620" s="4" t="s">
        <v>351</v>
      </c>
    </row>
    <row r="621" spans="54:56">
      <c r="BB621" s="4" t="s">
        <v>357</v>
      </c>
      <c r="BC621" s="4" t="s">
        <v>356</v>
      </c>
      <c r="BD621" s="4" t="s">
        <v>351</v>
      </c>
    </row>
    <row r="622" spans="54:56">
      <c r="BB622" s="4" t="s">
        <v>1038</v>
      </c>
      <c r="BC622" s="4" t="s">
        <v>356</v>
      </c>
      <c r="BD622" s="4" t="s">
        <v>351</v>
      </c>
    </row>
    <row r="623" spans="54:56">
      <c r="BB623" s="4" t="s">
        <v>364</v>
      </c>
      <c r="BC623" s="4" t="s">
        <v>363</v>
      </c>
      <c r="BD623" s="4" t="s">
        <v>351</v>
      </c>
    </row>
    <row r="624" spans="54:56">
      <c r="BB624" s="4" t="s">
        <v>359</v>
      </c>
      <c r="BC624" s="4" t="s">
        <v>358</v>
      </c>
      <c r="BD624" s="4" t="s">
        <v>351</v>
      </c>
    </row>
    <row r="625" spans="54:56">
      <c r="BB625" s="4" t="s">
        <v>361</v>
      </c>
      <c r="BC625" s="4" t="s">
        <v>360</v>
      </c>
      <c r="BD625" s="4" t="s">
        <v>351</v>
      </c>
    </row>
    <row r="626" spans="54:56">
      <c r="BB626" s="4" t="s">
        <v>355</v>
      </c>
      <c r="BC626" s="4" t="s">
        <v>838</v>
      </c>
      <c r="BD626" s="4" t="s">
        <v>838</v>
      </c>
    </row>
    <row r="627" spans="54:56">
      <c r="BB627" s="4" t="s">
        <v>488</v>
      </c>
      <c r="BC627" s="4" t="s">
        <v>838</v>
      </c>
      <c r="BD627" s="4" t="s">
        <v>838</v>
      </c>
    </row>
    <row r="628" spans="54:56">
      <c r="BB628" s="4" t="s">
        <v>839</v>
      </c>
      <c r="BC628" s="4" t="s">
        <v>838</v>
      </c>
      <c r="BD628" s="4" t="s">
        <v>838</v>
      </c>
    </row>
    <row r="629" spans="54:56">
      <c r="BB629" s="4" t="s">
        <v>862</v>
      </c>
      <c r="BC629" s="4" t="s">
        <v>838</v>
      </c>
      <c r="BD629" s="4" t="s">
        <v>838</v>
      </c>
    </row>
    <row r="630" spans="54:56">
      <c r="BB630" s="4" t="s">
        <v>1362</v>
      </c>
      <c r="BC630" s="4" t="s">
        <v>838</v>
      </c>
      <c r="BD630" s="4" t="s">
        <v>838</v>
      </c>
    </row>
    <row r="631" spans="54:56">
      <c r="BB631" s="4" t="s">
        <v>841</v>
      </c>
      <c r="BC631" s="4" t="s">
        <v>840</v>
      </c>
      <c r="BD631" s="4" t="s">
        <v>838</v>
      </c>
    </row>
    <row r="632" spans="54:56">
      <c r="BB632" s="4" t="s">
        <v>845</v>
      </c>
      <c r="BC632" s="4" t="s">
        <v>844</v>
      </c>
      <c r="BD632" s="4" t="s">
        <v>838</v>
      </c>
    </row>
    <row r="633" spans="54:56">
      <c r="BB633" s="4" t="s">
        <v>843</v>
      </c>
      <c r="BC633" s="4" t="s">
        <v>842</v>
      </c>
      <c r="BD633" s="4" t="s">
        <v>838</v>
      </c>
    </row>
    <row r="634" spans="54:56">
      <c r="BB634" s="4" t="s">
        <v>847</v>
      </c>
      <c r="BC634" s="4" t="s">
        <v>846</v>
      </c>
      <c r="BD634" s="4" t="s">
        <v>846</v>
      </c>
    </row>
    <row r="635" spans="54:56">
      <c r="BB635" s="4" t="s">
        <v>848</v>
      </c>
      <c r="BC635" s="4" t="s">
        <v>846</v>
      </c>
      <c r="BD635" s="4" t="s">
        <v>846</v>
      </c>
    </row>
    <row r="636" spans="54:56">
      <c r="BB636" s="4" t="s">
        <v>1289</v>
      </c>
      <c r="BC636" s="4" t="s">
        <v>846</v>
      </c>
      <c r="BD636" s="4" t="s">
        <v>846</v>
      </c>
    </row>
    <row r="637" spans="54:56">
      <c r="BB637" s="4" t="s">
        <v>1363</v>
      </c>
      <c r="BC637" s="4" t="s">
        <v>846</v>
      </c>
      <c r="BD637" s="4" t="s">
        <v>846</v>
      </c>
    </row>
    <row r="638" spans="54:56">
      <c r="BB638" s="4" t="s">
        <v>850</v>
      </c>
      <c r="BC638" s="4" t="s">
        <v>849</v>
      </c>
      <c r="BD638" s="4" t="s">
        <v>846</v>
      </c>
    </row>
    <row r="639" spans="54:56">
      <c r="BB639" s="4" t="s">
        <v>414</v>
      </c>
      <c r="BC639" s="4" t="s">
        <v>413</v>
      </c>
      <c r="BD639" s="4" t="s">
        <v>402</v>
      </c>
    </row>
    <row r="640" spans="54:56">
      <c r="BB640" s="4" t="s">
        <v>410</v>
      </c>
      <c r="BC640" s="4" t="s">
        <v>409</v>
      </c>
      <c r="BD640" s="4" t="s">
        <v>402</v>
      </c>
    </row>
    <row r="641" spans="54:56">
      <c r="BB641" s="4" t="s">
        <v>406</v>
      </c>
      <c r="BC641" s="4" t="s">
        <v>405</v>
      </c>
      <c r="BD641" s="4" t="s">
        <v>402</v>
      </c>
    </row>
    <row r="642" spans="54:56">
      <c r="BB642" s="4" t="s">
        <v>416</v>
      </c>
      <c r="BC642" s="4" t="s">
        <v>415</v>
      </c>
      <c r="BD642" s="4" t="s">
        <v>402</v>
      </c>
    </row>
    <row r="643" spans="54:56">
      <c r="BB643" s="4" t="s">
        <v>403</v>
      </c>
      <c r="BC643" s="4" t="s">
        <v>402</v>
      </c>
      <c r="BD643" s="4" t="s">
        <v>402</v>
      </c>
    </row>
    <row r="644" spans="54:56">
      <c r="BB644" s="4" t="s">
        <v>404</v>
      </c>
      <c r="BC644" s="4" t="s">
        <v>402</v>
      </c>
      <c r="BD644" s="4" t="s">
        <v>402</v>
      </c>
    </row>
    <row r="645" spans="54:56">
      <c r="BB645" s="4" t="s">
        <v>417</v>
      </c>
      <c r="BC645" s="4" t="s">
        <v>402</v>
      </c>
      <c r="BD645" s="4" t="s">
        <v>402</v>
      </c>
    </row>
    <row r="646" spans="54:56">
      <c r="BB646" s="4" t="s">
        <v>412</v>
      </c>
      <c r="BC646" s="4" t="s">
        <v>411</v>
      </c>
      <c r="BD646" s="4" t="s">
        <v>402</v>
      </c>
    </row>
    <row r="647" spans="54:56">
      <c r="BB647" s="4" t="s">
        <v>408</v>
      </c>
      <c r="BC647" s="4" t="s">
        <v>407</v>
      </c>
      <c r="BD647" s="4" t="s">
        <v>402</v>
      </c>
    </row>
    <row r="648" spans="54:56">
      <c r="BB648" s="4" t="s">
        <v>423</v>
      </c>
      <c r="BC648" s="4" t="s">
        <v>422</v>
      </c>
      <c r="BD648" s="4" t="s">
        <v>419</v>
      </c>
    </row>
    <row r="649" spans="54:56">
      <c r="BB649" s="4" t="s">
        <v>427</v>
      </c>
      <c r="BC649" s="4" t="s">
        <v>426</v>
      </c>
      <c r="BD649" s="4" t="s">
        <v>419</v>
      </c>
    </row>
    <row r="650" spans="54:56">
      <c r="BB650" s="4" t="s">
        <v>425</v>
      </c>
      <c r="BC650" s="4" t="s">
        <v>424</v>
      </c>
      <c r="BD650" s="4" t="s">
        <v>419</v>
      </c>
    </row>
    <row r="651" spans="54:56">
      <c r="BB651" s="4" t="s">
        <v>429</v>
      </c>
      <c r="BC651" s="4" t="s">
        <v>428</v>
      </c>
      <c r="BD651" s="4" t="s">
        <v>419</v>
      </c>
    </row>
    <row r="652" spans="54:56">
      <c r="BB652" s="4" t="s">
        <v>418</v>
      </c>
      <c r="BC652" s="4" t="s">
        <v>1997</v>
      </c>
      <c r="BD652" s="4" t="s">
        <v>419</v>
      </c>
    </row>
    <row r="653" spans="54:56">
      <c r="BB653" s="4" t="s">
        <v>420</v>
      </c>
      <c r="BC653" s="4" t="s">
        <v>419</v>
      </c>
      <c r="BD653" s="4" t="s">
        <v>419</v>
      </c>
    </row>
    <row r="654" spans="54:56">
      <c r="BB654" s="4" t="s">
        <v>421</v>
      </c>
      <c r="BC654" s="4" t="s">
        <v>419</v>
      </c>
      <c r="BD654" s="4" t="s">
        <v>419</v>
      </c>
    </row>
    <row r="655" spans="54:56">
      <c r="BB655" s="4" t="s">
        <v>305</v>
      </c>
      <c r="BC655" s="4" t="s">
        <v>304</v>
      </c>
      <c r="BD655" s="4" t="s">
        <v>304</v>
      </c>
    </row>
    <row r="656" spans="54:56">
      <c r="BB656" s="4" t="s">
        <v>306</v>
      </c>
      <c r="BC656" s="4" t="s">
        <v>304</v>
      </c>
      <c r="BD656" s="4" t="s">
        <v>304</v>
      </c>
    </row>
    <row r="657" spans="54:56">
      <c r="BB657" s="4" t="s">
        <v>307</v>
      </c>
      <c r="BC657" s="4" t="s">
        <v>304</v>
      </c>
      <c r="BD657" s="4" t="s">
        <v>304</v>
      </c>
    </row>
    <row r="658" spans="54:56">
      <c r="BB658" s="4" t="s">
        <v>312</v>
      </c>
      <c r="BC658" s="4" t="s">
        <v>304</v>
      </c>
      <c r="BD658" s="4" t="s">
        <v>304</v>
      </c>
    </row>
    <row r="659" spans="54:56">
      <c r="BB659" s="4" t="s">
        <v>313</v>
      </c>
      <c r="BC659" s="4" t="s">
        <v>304</v>
      </c>
      <c r="BD659" s="4" t="s">
        <v>304</v>
      </c>
    </row>
    <row r="660" spans="54:56">
      <c r="BB660" s="4" t="s">
        <v>314</v>
      </c>
      <c r="BC660" s="4" t="s">
        <v>304</v>
      </c>
      <c r="BD660" s="4" t="s">
        <v>304</v>
      </c>
    </row>
    <row r="661" spans="54:56">
      <c r="BB661" s="4" t="s">
        <v>315</v>
      </c>
      <c r="BC661" s="4" t="s">
        <v>304</v>
      </c>
      <c r="BD661" s="4" t="s">
        <v>304</v>
      </c>
    </row>
    <row r="662" spans="54:56">
      <c r="BB662" s="4" t="s">
        <v>508</v>
      </c>
      <c r="BC662" s="4" t="s">
        <v>304</v>
      </c>
      <c r="BD662" s="4" t="s">
        <v>304</v>
      </c>
    </row>
    <row r="663" spans="54:56">
      <c r="BB663" s="4" t="s">
        <v>509</v>
      </c>
      <c r="BC663" s="4" t="s">
        <v>304</v>
      </c>
      <c r="BD663" s="4" t="s">
        <v>304</v>
      </c>
    </row>
    <row r="664" spans="54:56">
      <c r="BB664" s="4" t="s">
        <v>510</v>
      </c>
      <c r="BC664" s="4" t="s">
        <v>304</v>
      </c>
      <c r="BD664" s="4" t="s">
        <v>304</v>
      </c>
    </row>
    <row r="665" spans="54:56">
      <c r="BB665" s="4" t="s">
        <v>1041</v>
      </c>
      <c r="BC665" s="4" t="s">
        <v>304</v>
      </c>
      <c r="BD665" s="4" t="s">
        <v>304</v>
      </c>
    </row>
    <row r="666" spans="54:56">
      <c r="BB666" s="4" t="s">
        <v>2023</v>
      </c>
      <c r="BC666" s="4" t="s">
        <v>304</v>
      </c>
      <c r="BD666" s="4" t="s">
        <v>304</v>
      </c>
    </row>
    <row r="667" spans="54:56">
      <c r="BB667" s="4" t="s">
        <v>1350</v>
      </c>
      <c r="BC667" s="4" t="s">
        <v>304</v>
      </c>
      <c r="BD667" s="4" t="s">
        <v>304</v>
      </c>
    </row>
    <row r="668" spans="54:56">
      <c r="BB668" s="4" t="s">
        <v>309</v>
      </c>
      <c r="BC668" s="4" t="s">
        <v>308</v>
      </c>
      <c r="BD668" s="4" t="s">
        <v>304</v>
      </c>
    </row>
    <row r="669" spans="54:56">
      <c r="BB669" s="4" t="s">
        <v>317</v>
      </c>
      <c r="BC669" s="4" t="s">
        <v>316</v>
      </c>
      <c r="BD669" s="4" t="s">
        <v>304</v>
      </c>
    </row>
    <row r="670" spans="54:56">
      <c r="BB670" s="4" t="s">
        <v>311</v>
      </c>
      <c r="BC670" s="4" t="s">
        <v>310</v>
      </c>
      <c r="BD670" s="4" t="s">
        <v>304</v>
      </c>
    </row>
    <row r="671" spans="54:56">
      <c r="BB671" s="4" t="s">
        <v>340</v>
      </c>
      <c r="BC671" s="4" t="s">
        <v>339</v>
      </c>
      <c r="BD671" s="4" t="s">
        <v>328</v>
      </c>
    </row>
    <row r="672" spans="54:56">
      <c r="BB672" s="4" t="s">
        <v>329</v>
      </c>
      <c r="BC672" s="4" t="s">
        <v>328</v>
      </c>
      <c r="BD672" s="4" t="s">
        <v>328</v>
      </c>
    </row>
    <row r="673" spans="54:56">
      <c r="BB673" s="4" t="s">
        <v>330</v>
      </c>
      <c r="BC673" s="4" t="s">
        <v>328</v>
      </c>
      <c r="BD673" s="4" t="s">
        <v>328</v>
      </c>
    </row>
    <row r="674" spans="54:56">
      <c r="BB674" s="4" t="s">
        <v>338</v>
      </c>
      <c r="BC674" s="4" t="s">
        <v>337</v>
      </c>
      <c r="BD674" s="4" t="s">
        <v>328</v>
      </c>
    </row>
    <row r="675" spans="54:56">
      <c r="BB675" s="4" t="s">
        <v>336</v>
      </c>
      <c r="BC675" s="4" t="s">
        <v>335</v>
      </c>
      <c r="BD675" s="4" t="s">
        <v>328</v>
      </c>
    </row>
    <row r="676" spans="54:56">
      <c r="BB676" s="4" t="s">
        <v>334</v>
      </c>
      <c r="BC676" s="4" t="s">
        <v>333</v>
      </c>
      <c r="BD676" s="4" t="s">
        <v>328</v>
      </c>
    </row>
    <row r="677" spans="54:56">
      <c r="BB677" s="4" t="s">
        <v>332</v>
      </c>
      <c r="BC677" s="4" t="s">
        <v>331</v>
      </c>
      <c r="BD677" s="4" t="s">
        <v>328</v>
      </c>
    </row>
    <row r="678" spans="54:56">
      <c r="BB678" s="4" t="s">
        <v>347</v>
      </c>
      <c r="BC678" s="4" t="s">
        <v>346</v>
      </c>
      <c r="BD678" s="4" t="s">
        <v>341</v>
      </c>
    </row>
    <row r="679" spans="54:56">
      <c r="BB679" s="4" t="s">
        <v>342</v>
      </c>
      <c r="BC679" s="4" t="s">
        <v>341</v>
      </c>
      <c r="BD679" s="4" t="s">
        <v>341</v>
      </c>
    </row>
    <row r="680" spans="54:56">
      <c r="BB680" s="4" t="s">
        <v>343</v>
      </c>
      <c r="BC680" s="4" t="s">
        <v>341</v>
      </c>
      <c r="BD680" s="4" t="s">
        <v>341</v>
      </c>
    </row>
    <row r="681" spans="54:56">
      <c r="BB681" s="4" t="s">
        <v>345</v>
      </c>
      <c r="BC681" s="4" t="s">
        <v>344</v>
      </c>
      <c r="BD681" s="4" t="s">
        <v>341</v>
      </c>
    </row>
    <row r="682" spans="54:56">
      <c r="BB682" s="4" t="s">
        <v>349</v>
      </c>
      <c r="BC682" s="4" t="s">
        <v>348</v>
      </c>
      <c r="BD682" s="4" t="s">
        <v>341</v>
      </c>
    </row>
    <row r="683" spans="54:56">
      <c r="BB683" s="4" t="s">
        <v>350</v>
      </c>
      <c r="BC683" s="4" t="s">
        <v>2021</v>
      </c>
      <c r="BD683" s="4" t="s">
        <v>341</v>
      </c>
    </row>
    <row r="684" spans="54:56">
      <c r="BB684" s="4" t="s">
        <v>490</v>
      </c>
      <c r="BC684" s="4" t="s">
        <v>489</v>
      </c>
      <c r="BD684" s="4" t="s">
        <v>489</v>
      </c>
    </row>
    <row r="685" spans="54:56">
      <c r="BB685" s="4" t="s">
        <v>491</v>
      </c>
      <c r="BC685" s="4" t="s">
        <v>489</v>
      </c>
      <c r="BD685" s="4" t="s">
        <v>489</v>
      </c>
    </row>
    <row r="686" spans="54:56">
      <c r="BB686" s="4" t="s">
        <v>1053</v>
      </c>
      <c r="BC686" s="4" t="s">
        <v>1052</v>
      </c>
      <c r="BD686" s="4" t="s">
        <v>489</v>
      </c>
    </row>
    <row r="687" spans="54:56">
      <c r="BB687" s="4" t="s">
        <v>439</v>
      </c>
      <c r="BC687" s="4" t="s">
        <v>438</v>
      </c>
      <c r="BD687" s="4" t="s">
        <v>430</v>
      </c>
    </row>
    <row r="688" spans="54:56">
      <c r="BB688" s="4" t="s">
        <v>443</v>
      </c>
      <c r="BC688" s="4" t="s">
        <v>442</v>
      </c>
      <c r="BD688" s="4" t="s">
        <v>430</v>
      </c>
    </row>
    <row r="689" spans="54:56">
      <c r="BB689" s="4" t="s">
        <v>437</v>
      </c>
      <c r="BC689" s="4" t="s">
        <v>436</v>
      </c>
      <c r="BD689" s="4" t="s">
        <v>430</v>
      </c>
    </row>
    <row r="690" spans="54:56">
      <c r="BB690" s="4" t="s">
        <v>434</v>
      </c>
      <c r="BC690" s="4" t="s">
        <v>433</v>
      </c>
      <c r="BD690" s="4" t="s">
        <v>430</v>
      </c>
    </row>
    <row r="691" spans="54:56">
      <c r="BB691" s="4" t="s">
        <v>431</v>
      </c>
      <c r="BC691" s="4" t="s">
        <v>430</v>
      </c>
      <c r="BD691" s="4" t="s">
        <v>430</v>
      </c>
    </row>
    <row r="692" spans="54:56">
      <c r="BB692" s="4" t="s">
        <v>432</v>
      </c>
      <c r="BC692" s="4" t="s">
        <v>430</v>
      </c>
      <c r="BD692" s="4" t="s">
        <v>430</v>
      </c>
    </row>
    <row r="693" spans="54:56">
      <c r="BB693" s="4" t="s">
        <v>435</v>
      </c>
      <c r="BC693" s="4" t="s">
        <v>430</v>
      </c>
      <c r="BD693" s="4" t="s">
        <v>430</v>
      </c>
    </row>
    <row r="694" spans="54:56">
      <c r="BB694" s="4" t="s">
        <v>441</v>
      </c>
      <c r="BC694" s="4" t="s">
        <v>440</v>
      </c>
      <c r="BD694" s="4" t="s">
        <v>430</v>
      </c>
    </row>
    <row r="695" spans="54:56">
      <c r="BB695" s="4" t="s">
        <v>445</v>
      </c>
      <c r="BC695" s="4" t="s">
        <v>444</v>
      </c>
      <c r="BD695" s="4" t="s">
        <v>430</v>
      </c>
    </row>
    <row r="696" spans="54:56">
      <c r="BB696" s="4" t="s">
        <v>456</v>
      </c>
      <c r="BC696" s="4" t="s">
        <v>455</v>
      </c>
      <c r="BD696" s="4" t="s">
        <v>448</v>
      </c>
    </row>
    <row r="697" spans="54:56">
      <c r="BB697" s="4" t="s">
        <v>458</v>
      </c>
      <c r="BC697" s="4" t="s">
        <v>457</v>
      </c>
      <c r="BD697" s="4" t="s">
        <v>448</v>
      </c>
    </row>
    <row r="698" spans="54:56">
      <c r="BB698" s="4" t="s">
        <v>459</v>
      </c>
      <c r="BC698" s="4" t="s">
        <v>2022</v>
      </c>
      <c r="BD698" s="4" t="s">
        <v>448</v>
      </c>
    </row>
    <row r="699" spans="54:56">
      <c r="BB699" s="4" t="s">
        <v>452</v>
      </c>
      <c r="BC699" s="4" t="s">
        <v>451</v>
      </c>
      <c r="BD699" s="4" t="s">
        <v>448</v>
      </c>
    </row>
    <row r="700" spans="54:56">
      <c r="BB700" s="4" t="s">
        <v>447</v>
      </c>
      <c r="BC700" s="4" t="s">
        <v>446</v>
      </c>
      <c r="BD700" s="4" t="s">
        <v>448</v>
      </c>
    </row>
    <row r="701" spans="54:56">
      <c r="BB701" s="4" t="s">
        <v>449</v>
      </c>
      <c r="BC701" s="4" t="s">
        <v>446</v>
      </c>
      <c r="BD701" s="4" t="s">
        <v>448</v>
      </c>
    </row>
    <row r="702" spans="54:56">
      <c r="BB702" s="4" t="s">
        <v>450</v>
      </c>
      <c r="BC702" s="4" t="s">
        <v>446</v>
      </c>
      <c r="BD702" s="4" t="s">
        <v>448</v>
      </c>
    </row>
    <row r="703" spans="54:56">
      <c r="BB703" s="4" t="s">
        <v>454</v>
      </c>
      <c r="BC703" s="4" t="s">
        <v>453</v>
      </c>
      <c r="BD703" s="4" t="s">
        <v>448</v>
      </c>
    </row>
    <row r="704" spans="54:56">
      <c r="BB704" s="4" t="s">
        <v>461</v>
      </c>
      <c r="BC704" s="4" t="s">
        <v>460</v>
      </c>
      <c r="BD704" s="4" t="s">
        <v>448</v>
      </c>
    </row>
    <row r="705" spans="54:56">
      <c r="BB705" s="4" t="s">
        <v>1042</v>
      </c>
      <c r="BC705" s="4" t="s">
        <v>448</v>
      </c>
      <c r="BD705" s="4" t="s">
        <v>448</v>
      </c>
    </row>
    <row r="706" spans="54:56">
      <c r="BB706" s="4" t="s">
        <v>687</v>
      </c>
      <c r="BC706" s="4" t="s">
        <v>686</v>
      </c>
      <c r="BD706" s="4" t="s">
        <v>686</v>
      </c>
    </row>
    <row r="707" spans="54:56">
      <c r="BB707" s="4" t="s">
        <v>688</v>
      </c>
      <c r="BC707" s="4" t="s">
        <v>686</v>
      </c>
      <c r="BD707" s="4" t="s">
        <v>686</v>
      </c>
    </row>
    <row r="708" spans="54:56">
      <c r="BB708" s="4" t="s">
        <v>690</v>
      </c>
      <c r="BC708" s="4" t="s">
        <v>689</v>
      </c>
      <c r="BD708" s="4" t="s">
        <v>686</v>
      </c>
    </row>
    <row r="709" spans="54:56">
      <c r="BB709" s="4" t="s">
        <v>918</v>
      </c>
      <c r="BC709" s="4" t="s">
        <v>917</v>
      </c>
      <c r="BD709" s="4" t="s">
        <v>917</v>
      </c>
    </row>
    <row r="710" spans="54:56">
      <c r="BB710" s="4" t="s">
        <v>919</v>
      </c>
      <c r="BC710" s="4" t="s">
        <v>917</v>
      </c>
      <c r="BD710" s="4" t="s">
        <v>917</v>
      </c>
    </row>
    <row r="711" spans="54:56">
      <c r="BB711" s="4" t="s">
        <v>1018</v>
      </c>
      <c r="BC711" s="4" t="s">
        <v>917</v>
      </c>
      <c r="BD711" s="4" t="s">
        <v>917</v>
      </c>
    </row>
    <row r="712" spans="54:56">
      <c r="BB712" s="4" t="s">
        <v>921</v>
      </c>
      <c r="BC712" s="4" t="s">
        <v>920</v>
      </c>
      <c r="BD712" s="4" t="s">
        <v>917</v>
      </c>
    </row>
    <row r="713" spans="54:56">
      <c r="BB713" s="4" t="s">
        <v>384</v>
      </c>
      <c r="BC713" s="4" t="s">
        <v>383</v>
      </c>
      <c r="BD713" s="4" t="s">
        <v>385</v>
      </c>
    </row>
    <row r="714" spans="54:56">
      <c r="BB714" s="4" t="s">
        <v>1017</v>
      </c>
      <c r="BC714" s="4" t="s">
        <v>383</v>
      </c>
      <c r="BD714" s="4" t="s">
        <v>385</v>
      </c>
    </row>
    <row r="715" spans="54:56">
      <c r="BB715" s="4" t="s">
        <v>1019</v>
      </c>
      <c r="BC715" s="4" t="s">
        <v>383</v>
      </c>
      <c r="BD715" s="4" t="s">
        <v>385</v>
      </c>
    </row>
    <row r="716" spans="54:56">
      <c r="BB716" s="4" t="s">
        <v>2024</v>
      </c>
      <c r="BC716" s="4" t="s">
        <v>383</v>
      </c>
      <c r="BD716" s="4" t="s">
        <v>385</v>
      </c>
    </row>
    <row r="717" spans="54:56">
      <c r="BB717" s="4" t="s">
        <v>1020</v>
      </c>
      <c r="BC717" s="4" t="s">
        <v>869</v>
      </c>
      <c r="BD717" s="4" t="s">
        <v>385</v>
      </c>
    </row>
    <row r="718" spans="54:56">
      <c r="BB718" s="4" t="s">
        <v>1022</v>
      </c>
      <c r="BC718" s="4" t="s">
        <v>1021</v>
      </c>
      <c r="BD718" s="4" t="s">
        <v>385</v>
      </c>
    </row>
    <row r="719" spans="54:56">
      <c r="BB719" s="4" t="s">
        <v>1008</v>
      </c>
      <c r="BC719" s="4" t="s">
        <v>1007</v>
      </c>
      <c r="BD719" s="4" t="s">
        <v>1006</v>
      </c>
    </row>
    <row r="720" spans="54:56">
      <c r="BB720" s="4" t="s">
        <v>1574</v>
      </c>
      <c r="BC720" s="4" t="s">
        <v>1006</v>
      </c>
      <c r="BD720" s="4" t="s">
        <v>1006</v>
      </c>
    </row>
    <row r="721" spans="54:56">
      <c r="BB721" s="4" t="s">
        <v>1005</v>
      </c>
      <c r="BC721" s="4" t="s">
        <v>1004</v>
      </c>
      <c r="BD721" s="4" t="s">
        <v>1006</v>
      </c>
    </row>
    <row r="722" spans="54:56">
      <c r="BB722" s="4" t="s">
        <v>1010</v>
      </c>
      <c r="BC722" s="4" t="s">
        <v>1009</v>
      </c>
      <c r="BD722" s="4" t="s">
        <v>1006</v>
      </c>
    </row>
    <row r="723" spans="54:56">
      <c r="BB723" s="4" t="s">
        <v>885</v>
      </c>
      <c r="BC723" s="4" t="s">
        <v>884</v>
      </c>
      <c r="BD723" s="4" t="s">
        <v>884</v>
      </c>
    </row>
    <row r="724" spans="54:56">
      <c r="BB724" s="4" t="s">
        <v>914</v>
      </c>
      <c r="BC724" s="4" t="s">
        <v>884</v>
      </c>
      <c r="BD724" s="4" t="s">
        <v>884</v>
      </c>
    </row>
    <row r="725" spans="54:56">
      <c r="BB725" s="4" t="s">
        <v>889</v>
      </c>
      <c r="BC725" s="4" t="s">
        <v>888</v>
      </c>
      <c r="BD725" s="4" t="s">
        <v>884</v>
      </c>
    </row>
    <row r="726" spans="54:56">
      <c r="BB726" s="4" t="s">
        <v>887</v>
      </c>
      <c r="BC726" s="4" t="s">
        <v>886</v>
      </c>
      <c r="BD726" s="4" t="s">
        <v>884</v>
      </c>
    </row>
    <row r="727" spans="54:56">
      <c r="BB727" s="4" t="s">
        <v>890</v>
      </c>
      <c r="BC727" s="4" t="s">
        <v>2025</v>
      </c>
      <c r="BD727" s="4" t="s">
        <v>884</v>
      </c>
    </row>
    <row r="728" spans="54:56">
      <c r="BB728" s="4" t="s">
        <v>1199</v>
      </c>
      <c r="BC728" s="4" t="s">
        <v>1198</v>
      </c>
      <c r="BD728" s="4" t="s">
        <v>18</v>
      </c>
    </row>
    <row r="729" spans="54:56">
      <c r="BB729" s="4" t="s">
        <v>1203</v>
      </c>
      <c r="BC729" s="4" t="s">
        <v>1198</v>
      </c>
      <c r="BD729" s="4" t="s">
        <v>18</v>
      </c>
    </row>
    <row r="730" spans="54:56">
      <c r="BB730" s="4" t="s">
        <v>1201</v>
      </c>
      <c r="BC730" s="4" t="s">
        <v>1227</v>
      </c>
      <c r="BD730" s="4" t="s">
        <v>18</v>
      </c>
    </row>
    <row r="731" spans="54:56">
      <c r="BB731" s="4" t="s">
        <v>1228</v>
      </c>
      <c r="BC731" s="4" t="s">
        <v>1227</v>
      </c>
      <c r="BD731" s="4" t="s">
        <v>18</v>
      </c>
    </row>
    <row r="732" spans="54:56">
      <c r="BB732" s="4" t="s">
        <v>1208</v>
      </c>
      <c r="BC732" s="4" t="s">
        <v>1207</v>
      </c>
      <c r="BD732" s="4" t="s">
        <v>18</v>
      </c>
    </row>
    <row r="733" spans="54:56">
      <c r="BB733" s="4" t="s">
        <v>1206</v>
      </c>
      <c r="BC733" s="4" t="s">
        <v>2029</v>
      </c>
      <c r="BD733" s="4" t="s">
        <v>18</v>
      </c>
    </row>
    <row r="734" spans="54:56">
      <c r="BB734" s="4" t="s">
        <v>1202</v>
      </c>
      <c r="BC734" s="4" t="s">
        <v>2026</v>
      </c>
      <c r="BD734" s="4" t="s">
        <v>18</v>
      </c>
    </row>
    <row r="735" spans="54:56">
      <c r="BB735" s="4" t="s">
        <v>1204</v>
      </c>
      <c r="BC735" s="4" t="s">
        <v>2027</v>
      </c>
      <c r="BD735" s="4" t="s">
        <v>18</v>
      </c>
    </row>
    <row r="736" spans="54:56">
      <c r="BB736" s="4" t="s">
        <v>1200</v>
      </c>
      <c r="BC736" s="4" t="s">
        <v>1232</v>
      </c>
      <c r="BD736" s="4" t="s">
        <v>18</v>
      </c>
    </row>
    <row r="737" spans="54:56">
      <c r="BB737" s="4" t="s">
        <v>1233</v>
      </c>
      <c r="BC737" s="4" t="s">
        <v>1232</v>
      </c>
      <c r="BD737" s="4" t="s">
        <v>18</v>
      </c>
    </row>
    <row r="738" spans="54:56">
      <c r="BB738" s="4" t="s">
        <v>1197</v>
      </c>
      <c r="BC738" s="4" t="s">
        <v>18</v>
      </c>
      <c r="BD738" s="4" t="s">
        <v>18</v>
      </c>
    </row>
    <row r="739" spans="54:56">
      <c r="BB739" s="4" t="s">
        <v>1209</v>
      </c>
      <c r="BC739" s="4" t="s">
        <v>18</v>
      </c>
      <c r="BD739" s="4" t="s">
        <v>18</v>
      </c>
    </row>
    <row r="740" spans="54:56">
      <c r="BB740" s="4" t="s">
        <v>1229</v>
      </c>
      <c r="BC740" s="4" t="s">
        <v>18</v>
      </c>
      <c r="BD740" s="4" t="s">
        <v>18</v>
      </c>
    </row>
    <row r="741" spans="54:56">
      <c r="BB741" s="4" t="s">
        <v>1231</v>
      </c>
      <c r="BC741" s="4" t="s">
        <v>18</v>
      </c>
      <c r="BD741" s="4" t="s">
        <v>18</v>
      </c>
    </row>
    <row r="742" spans="54:56">
      <c r="BB742" s="4" t="s">
        <v>1205</v>
      </c>
      <c r="BC742" s="4" t="s">
        <v>2028</v>
      </c>
      <c r="BD742" s="4" t="s">
        <v>18</v>
      </c>
    </row>
    <row r="743" spans="54:56">
      <c r="BB743" s="4" t="s">
        <v>901</v>
      </c>
      <c r="BC743" s="4" t="s">
        <v>900</v>
      </c>
      <c r="BD743" s="4" t="s">
        <v>17</v>
      </c>
    </row>
    <row r="744" spans="54:56">
      <c r="BB744" s="4" t="s">
        <v>909</v>
      </c>
      <c r="BC744" s="4" t="s">
        <v>900</v>
      </c>
      <c r="BD744" s="4" t="s">
        <v>17</v>
      </c>
    </row>
    <row r="745" spans="54:56">
      <c r="BB745" s="4" t="s">
        <v>899</v>
      </c>
      <c r="BC745" s="4" t="s">
        <v>898</v>
      </c>
      <c r="BD745" s="4" t="s">
        <v>17</v>
      </c>
    </row>
    <row r="746" spans="54:56">
      <c r="BB746" s="4" t="s">
        <v>1044</v>
      </c>
      <c r="BC746" s="4" t="s">
        <v>898</v>
      </c>
      <c r="BD746" s="4" t="s">
        <v>17</v>
      </c>
    </row>
    <row r="747" spans="54:56">
      <c r="BB747" s="4" t="s">
        <v>1055</v>
      </c>
      <c r="BC747" s="4" t="s">
        <v>898</v>
      </c>
      <c r="BD747" s="4" t="s">
        <v>17</v>
      </c>
    </row>
    <row r="748" spans="54:56">
      <c r="BB748" s="4" t="s">
        <v>903</v>
      </c>
      <c r="BC748" s="4" t="s">
        <v>902</v>
      </c>
      <c r="BD748" s="4" t="s">
        <v>17</v>
      </c>
    </row>
    <row r="749" spans="54:56">
      <c r="BB749" s="4" t="s">
        <v>906</v>
      </c>
      <c r="BC749" s="4" t="s">
        <v>902</v>
      </c>
      <c r="BD749" s="4" t="s">
        <v>17</v>
      </c>
    </row>
    <row r="750" spans="54:56">
      <c r="BB750" s="4" t="s">
        <v>895</v>
      </c>
      <c r="BC750" s="4" t="s">
        <v>894</v>
      </c>
      <c r="BD750" s="4" t="s">
        <v>17</v>
      </c>
    </row>
    <row r="751" spans="54:56">
      <c r="BB751" s="4" t="s">
        <v>897</v>
      </c>
      <c r="BC751" s="4" t="s">
        <v>896</v>
      </c>
      <c r="BD751" s="4" t="s">
        <v>17</v>
      </c>
    </row>
    <row r="752" spans="54:56">
      <c r="BB752" s="4" t="s">
        <v>1043</v>
      </c>
      <c r="BC752" s="4" t="s">
        <v>896</v>
      </c>
      <c r="BD752" s="4" t="s">
        <v>17</v>
      </c>
    </row>
    <row r="753" spans="54:56">
      <c r="BB753" s="4" t="s">
        <v>905</v>
      </c>
      <c r="BC753" s="4" t="s">
        <v>904</v>
      </c>
      <c r="BD753" s="4" t="s">
        <v>17</v>
      </c>
    </row>
    <row r="754" spans="54:56">
      <c r="BB754" s="4" t="s">
        <v>891</v>
      </c>
      <c r="BC754" s="4" t="s">
        <v>17</v>
      </c>
      <c r="BD754" s="4" t="s">
        <v>17</v>
      </c>
    </row>
    <row r="755" spans="54:56">
      <c r="BB755" s="4" t="s">
        <v>892</v>
      </c>
      <c r="BC755" s="4" t="s">
        <v>17</v>
      </c>
      <c r="BD755" s="4" t="s">
        <v>17</v>
      </c>
    </row>
    <row r="756" spans="54:56">
      <c r="BB756" s="4" t="s">
        <v>893</v>
      </c>
      <c r="BC756" s="4" t="s">
        <v>17</v>
      </c>
      <c r="BD756" s="4" t="s">
        <v>17</v>
      </c>
    </row>
    <row r="757" spans="54:56">
      <c r="BB757" s="4" t="s">
        <v>912</v>
      </c>
      <c r="BC757" s="4" t="s">
        <v>17</v>
      </c>
      <c r="BD757" s="4" t="s">
        <v>17</v>
      </c>
    </row>
    <row r="758" spans="54:56">
      <c r="BB758" s="4" t="s">
        <v>1230</v>
      </c>
      <c r="BC758" s="4" t="s">
        <v>17</v>
      </c>
      <c r="BD758" s="4" t="s">
        <v>17</v>
      </c>
    </row>
    <row r="759" spans="54:56">
      <c r="BB759" s="4" t="s">
        <v>7</v>
      </c>
      <c r="BC759" s="4" t="s">
        <v>17</v>
      </c>
      <c r="BD759" s="4" t="s">
        <v>17</v>
      </c>
    </row>
    <row r="760" spans="54:56">
      <c r="BB760" s="4" t="s">
        <v>2031</v>
      </c>
      <c r="BC760" s="4" t="s">
        <v>17</v>
      </c>
      <c r="BD760" s="4" t="s">
        <v>17</v>
      </c>
    </row>
    <row r="761" spans="54:56">
      <c r="BB761" s="4" t="s">
        <v>1372</v>
      </c>
      <c r="BC761" s="4" t="s">
        <v>17</v>
      </c>
      <c r="BD761" s="4" t="s">
        <v>17</v>
      </c>
    </row>
    <row r="762" spans="54:56">
      <c r="BB762" s="4" t="s">
        <v>1221</v>
      </c>
      <c r="BC762" s="4" t="s">
        <v>1220</v>
      </c>
      <c r="BD762" s="4" t="s">
        <v>1212</v>
      </c>
    </row>
    <row r="763" spans="54:56">
      <c r="BB763" s="4" t="s">
        <v>1223</v>
      </c>
      <c r="BC763" s="4" t="s">
        <v>1222</v>
      </c>
      <c r="BD763" s="4" t="s">
        <v>1212</v>
      </c>
    </row>
    <row r="764" spans="54:56">
      <c r="BB764" s="4" t="s">
        <v>1214</v>
      </c>
      <c r="BC764" s="4" t="s">
        <v>1213</v>
      </c>
      <c r="BD764" s="4" t="s">
        <v>1212</v>
      </c>
    </row>
    <row r="765" spans="54:56">
      <c r="BB765" s="4" t="s">
        <v>1224</v>
      </c>
      <c r="BC765" s="4" t="s">
        <v>2030</v>
      </c>
      <c r="BD765" s="4" t="s">
        <v>1212</v>
      </c>
    </row>
    <row r="766" spans="54:56">
      <c r="BB766" s="4" t="s">
        <v>1216</v>
      </c>
      <c r="BC766" s="4" t="s">
        <v>1215</v>
      </c>
      <c r="BD766" s="4" t="s">
        <v>1212</v>
      </c>
    </row>
    <row r="767" spans="54:56">
      <c r="BB767" s="4" t="s">
        <v>1211</v>
      </c>
      <c r="BC767" s="4" t="s">
        <v>1210</v>
      </c>
      <c r="BD767" s="4" t="s">
        <v>1212</v>
      </c>
    </row>
    <row r="768" spans="54:56">
      <c r="BB768" s="4" t="s">
        <v>1225</v>
      </c>
      <c r="BC768" s="4" t="s">
        <v>1210</v>
      </c>
      <c r="BD768" s="4" t="s">
        <v>1212</v>
      </c>
    </row>
    <row r="769" spans="54:56">
      <c r="BB769" s="4" t="s">
        <v>1226</v>
      </c>
      <c r="BC769" s="4" t="s">
        <v>1212</v>
      </c>
      <c r="BD769" s="4" t="s">
        <v>1212</v>
      </c>
    </row>
    <row r="770" spans="54:56">
      <c r="BB770" s="4" t="s">
        <v>1218</v>
      </c>
      <c r="BC770" s="4" t="s">
        <v>1217</v>
      </c>
      <c r="BD770" s="4" t="s">
        <v>1212</v>
      </c>
    </row>
    <row r="771" spans="54:56">
      <c r="BB771" s="4" t="s">
        <v>1219</v>
      </c>
      <c r="BC771" s="4" t="s">
        <v>1217</v>
      </c>
      <c r="BD771" s="4" t="s">
        <v>1212</v>
      </c>
    </row>
    <row r="772" spans="54:56">
      <c r="BB772" s="4" t="s">
        <v>165</v>
      </c>
      <c r="BC772" s="4" t="s">
        <v>164</v>
      </c>
      <c r="BD772" s="4" t="s">
        <v>10</v>
      </c>
    </row>
    <row r="773" spans="54:56">
      <c r="BB773" s="4" t="s">
        <v>1379</v>
      </c>
      <c r="BC773" s="4" t="s">
        <v>174</v>
      </c>
      <c r="BD773" s="4" t="s">
        <v>10</v>
      </c>
    </row>
    <row r="774" spans="54:56">
      <c r="BB774" s="4" t="s">
        <v>171</v>
      </c>
      <c r="BC774" s="4" t="s">
        <v>170</v>
      </c>
      <c r="BD774" s="4" t="s">
        <v>10</v>
      </c>
    </row>
    <row r="775" spans="54:56">
      <c r="BB775" s="4" t="s">
        <v>163</v>
      </c>
      <c r="BC775" s="4" t="s">
        <v>162</v>
      </c>
      <c r="BD775" s="4" t="s">
        <v>10</v>
      </c>
    </row>
    <row r="776" spans="54:56">
      <c r="BB776" s="4" t="s">
        <v>197</v>
      </c>
      <c r="BC776" s="4" t="s">
        <v>162</v>
      </c>
      <c r="BD776" s="4" t="s">
        <v>10</v>
      </c>
    </row>
    <row r="777" spans="54:56">
      <c r="BB777" s="4" t="s">
        <v>157</v>
      </c>
      <c r="BC777" s="4" t="s">
        <v>9</v>
      </c>
      <c r="BD777" s="4" t="s">
        <v>10</v>
      </c>
    </row>
    <row r="778" spans="54:56">
      <c r="BB778" s="4" t="s">
        <v>195</v>
      </c>
      <c r="BC778" s="4" t="s">
        <v>9</v>
      </c>
      <c r="BD778" s="4" t="s">
        <v>10</v>
      </c>
    </row>
    <row r="779" spans="54:56">
      <c r="BB779" s="4" t="s">
        <v>198</v>
      </c>
      <c r="BC779" s="4" t="s">
        <v>9</v>
      </c>
      <c r="BD779" s="4" t="s">
        <v>10</v>
      </c>
    </row>
    <row r="780" spans="54:56">
      <c r="BB780" s="4" t="s">
        <v>2032</v>
      </c>
      <c r="BC780" s="4" t="s">
        <v>9</v>
      </c>
      <c r="BD780" s="4" t="s">
        <v>10</v>
      </c>
    </row>
    <row r="781" spans="54:56">
      <c r="BB781" s="4" t="s">
        <v>159</v>
      </c>
      <c r="BC781" s="4" t="s">
        <v>158</v>
      </c>
      <c r="BD781" s="4" t="s">
        <v>10</v>
      </c>
    </row>
    <row r="782" spans="54:56">
      <c r="BB782" s="4" t="s">
        <v>173</v>
      </c>
      <c r="BC782" s="4" t="s">
        <v>172</v>
      </c>
      <c r="BD782" s="4" t="s">
        <v>10</v>
      </c>
    </row>
    <row r="783" spans="54:56">
      <c r="BB783" s="4" t="s">
        <v>169</v>
      </c>
      <c r="BC783" s="4" t="s">
        <v>168</v>
      </c>
      <c r="BD783" s="4" t="s">
        <v>10</v>
      </c>
    </row>
    <row r="784" spans="54:56">
      <c r="BB784" s="4" t="s">
        <v>161</v>
      </c>
      <c r="BC784" s="4" t="s">
        <v>160</v>
      </c>
      <c r="BD784" s="4" t="s">
        <v>10</v>
      </c>
    </row>
    <row r="785" spans="54:56">
      <c r="BB785" s="4" t="s">
        <v>167</v>
      </c>
      <c r="BC785" s="4" t="s">
        <v>166</v>
      </c>
      <c r="BD785" s="4" t="s">
        <v>10</v>
      </c>
    </row>
    <row r="786" spans="54:56">
      <c r="BB786" s="4" t="s">
        <v>199</v>
      </c>
      <c r="BC786" s="4" t="s">
        <v>166</v>
      </c>
      <c r="BD786" s="4" t="s">
        <v>10</v>
      </c>
    </row>
    <row r="787" spans="54:56">
      <c r="BB787" s="4" t="s">
        <v>175</v>
      </c>
      <c r="BC787" s="4" t="s">
        <v>174</v>
      </c>
      <c r="BD787" s="4" t="s">
        <v>1501</v>
      </c>
    </row>
    <row r="788" spans="54:56">
      <c r="BB788" s="4" t="s">
        <v>196</v>
      </c>
      <c r="BC788" s="4" t="s">
        <v>174</v>
      </c>
      <c r="BD788" s="4" t="s">
        <v>1501</v>
      </c>
    </row>
    <row r="789" spans="54:56">
      <c r="BB789" s="4" t="s">
        <v>177</v>
      </c>
      <c r="BC789" s="4" t="s">
        <v>176</v>
      </c>
      <c r="BD789" s="4" t="s">
        <v>1501</v>
      </c>
    </row>
    <row r="790" spans="54:56">
      <c r="BB790" s="4" t="s">
        <v>178</v>
      </c>
      <c r="BC790" s="4" t="s">
        <v>176</v>
      </c>
      <c r="BD790" s="4" t="s">
        <v>1501</v>
      </c>
    </row>
    <row r="791" spans="54:56">
      <c r="BB791" s="4" t="s">
        <v>186</v>
      </c>
      <c r="BC791" s="4" t="s">
        <v>185</v>
      </c>
      <c r="BD791" s="4" t="s">
        <v>1501</v>
      </c>
    </row>
    <row r="792" spans="54:56">
      <c r="BB792" s="4" t="s">
        <v>184</v>
      </c>
      <c r="BC792" s="4" t="s">
        <v>183</v>
      </c>
      <c r="BD792" s="4" t="s">
        <v>1501</v>
      </c>
    </row>
    <row r="793" spans="54:56">
      <c r="BB793" s="4" t="s">
        <v>190</v>
      </c>
      <c r="BC793" s="4" t="s">
        <v>189</v>
      </c>
      <c r="BD793" s="4" t="s">
        <v>1501</v>
      </c>
    </row>
    <row r="794" spans="54:56">
      <c r="BB794" s="4" t="s">
        <v>188</v>
      </c>
      <c r="BC794" s="4" t="s">
        <v>187</v>
      </c>
      <c r="BD794" s="4" t="s">
        <v>1501</v>
      </c>
    </row>
    <row r="795" spans="54:56">
      <c r="BB795" s="4" t="s">
        <v>2662</v>
      </c>
      <c r="BC795" s="4" t="s">
        <v>1998</v>
      </c>
      <c r="BD795" s="4" t="s">
        <v>1501</v>
      </c>
    </row>
    <row r="796" spans="54:56">
      <c r="BB796" s="4" t="s">
        <v>194</v>
      </c>
      <c r="BC796" s="4" t="s">
        <v>193</v>
      </c>
      <c r="BD796" s="4" t="s">
        <v>1501</v>
      </c>
    </row>
    <row r="797" spans="54:56">
      <c r="BB797" s="4" t="s">
        <v>180</v>
      </c>
      <c r="BC797" s="4" t="s">
        <v>179</v>
      </c>
      <c r="BD797" s="4" t="s">
        <v>1501</v>
      </c>
    </row>
    <row r="798" spans="54:56">
      <c r="BB798" s="4" t="s">
        <v>192</v>
      </c>
      <c r="BC798" s="4" t="s">
        <v>191</v>
      </c>
      <c r="BD798" s="4" t="s">
        <v>1501</v>
      </c>
    </row>
    <row r="799" spans="54:56">
      <c r="BB799" s="4" t="s">
        <v>182</v>
      </c>
      <c r="BC799" s="4" t="s">
        <v>181</v>
      </c>
      <c r="BD799" s="4" t="s">
        <v>1501</v>
      </c>
    </row>
    <row r="800" spans="54:56">
      <c r="BB800" s="4" t="s">
        <v>1248</v>
      </c>
      <c r="BC800" s="4" t="s">
        <v>1247</v>
      </c>
      <c r="BD800" s="4" t="s">
        <v>1238</v>
      </c>
    </row>
    <row r="801" spans="54:56">
      <c r="BB801" s="4" t="s">
        <v>1239</v>
      </c>
      <c r="BC801" s="4" t="s">
        <v>1238</v>
      </c>
      <c r="BD801" s="4" t="s">
        <v>1238</v>
      </c>
    </row>
    <row r="802" spans="54:56">
      <c r="BB802" s="4" t="s">
        <v>1249</v>
      </c>
      <c r="BC802" s="4" t="s">
        <v>1238</v>
      </c>
      <c r="BD802" s="4" t="s">
        <v>1238</v>
      </c>
    </row>
    <row r="803" spans="54:56">
      <c r="BB803" s="4" t="s">
        <v>1279</v>
      </c>
      <c r="BC803" s="4" t="s">
        <v>1238</v>
      </c>
      <c r="BD803" s="4" t="s">
        <v>1238</v>
      </c>
    </row>
    <row r="804" spans="54:56">
      <c r="BB804" s="4" t="s">
        <v>1244</v>
      </c>
      <c r="BC804" s="4" t="s">
        <v>1243</v>
      </c>
      <c r="BD804" s="4" t="s">
        <v>1242</v>
      </c>
    </row>
    <row r="805" spans="54:56">
      <c r="BB805" s="4" t="s">
        <v>1283</v>
      </c>
      <c r="BC805" s="4" t="s">
        <v>1282</v>
      </c>
      <c r="BD805" s="4" t="s">
        <v>1242</v>
      </c>
    </row>
    <row r="806" spans="54:56">
      <c r="BB806" s="4" t="s">
        <v>1241</v>
      </c>
      <c r="BC806" s="4" t="s">
        <v>1240</v>
      </c>
      <c r="BD806" s="4" t="s">
        <v>1242</v>
      </c>
    </row>
    <row r="807" spans="54:56">
      <c r="BB807" s="4" t="s">
        <v>1251</v>
      </c>
      <c r="BC807" s="4" t="s">
        <v>1250</v>
      </c>
      <c r="BD807" s="4" t="s">
        <v>1242</v>
      </c>
    </row>
    <row r="808" spans="54:56">
      <c r="BB808" s="4" t="s">
        <v>1281</v>
      </c>
      <c r="BC808" s="4" t="s">
        <v>1280</v>
      </c>
      <c r="BD808" s="4" t="s">
        <v>1242</v>
      </c>
    </row>
    <row r="809" spans="54:56">
      <c r="BB809" s="4" t="s">
        <v>1274</v>
      </c>
      <c r="BC809" s="4" t="s">
        <v>1273</v>
      </c>
      <c r="BD809" s="4" t="s">
        <v>1242</v>
      </c>
    </row>
    <row r="810" spans="54:56">
      <c r="BB810" s="4" t="s">
        <v>1246</v>
      </c>
      <c r="BC810" s="4" t="s">
        <v>1245</v>
      </c>
      <c r="BD810" s="4" t="s">
        <v>1047</v>
      </c>
    </row>
    <row r="811" spans="54:56">
      <c r="BB811" s="4" t="s">
        <v>1270</v>
      </c>
      <c r="BC811" s="4" t="s">
        <v>1269</v>
      </c>
      <c r="BD811" s="4" t="s">
        <v>1047</v>
      </c>
    </row>
    <row r="812" spans="54:56">
      <c r="BB812" s="4" t="s">
        <v>1263</v>
      </c>
      <c r="BC812" s="4" t="s">
        <v>1262</v>
      </c>
      <c r="BD812" s="4" t="s">
        <v>1047</v>
      </c>
    </row>
    <row r="813" spans="54:56">
      <c r="BB813" s="4" t="s">
        <v>1278</v>
      </c>
      <c r="BC813" s="4" t="s">
        <v>1262</v>
      </c>
      <c r="BD813" s="4" t="s">
        <v>1047</v>
      </c>
    </row>
    <row r="814" spans="54:56">
      <c r="BB814" s="4" t="s">
        <v>1272</v>
      </c>
      <c r="BC814" s="4" t="s">
        <v>1271</v>
      </c>
      <c r="BD814" s="4" t="s">
        <v>1047</v>
      </c>
    </row>
    <row r="815" spans="54:56">
      <c r="BB815" s="4" t="s">
        <v>1046</v>
      </c>
      <c r="BC815" s="4" t="s">
        <v>1045</v>
      </c>
      <c r="BD815" s="4" t="s">
        <v>1047</v>
      </c>
    </row>
    <row r="816" spans="54:56">
      <c r="BB816" s="4" t="s">
        <v>1254</v>
      </c>
      <c r="BC816" s="4" t="s">
        <v>1047</v>
      </c>
      <c r="BD816" s="4" t="s">
        <v>1047</v>
      </c>
    </row>
    <row r="817" spans="54:56">
      <c r="BB817" s="4" t="s">
        <v>1255</v>
      </c>
      <c r="BC817" s="4" t="s">
        <v>1047</v>
      </c>
      <c r="BD817" s="4" t="s">
        <v>1047</v>
      </c>
    </row>
    <row r="818" spans="54:56">
      <c r="BB818" s="4" t="s">
        <v>1256</v>
      </c>
      <c r="BC818" s="4" t="s">
        <v>1047</v>
      </c>
      <c r="BD818" s="4" t="s">
        <v>1047</v>
      </c>
    </row>
    <row r="819" spans="54:56">
      <c r="BB819" s="4" t="s">
        <v>1257</v>
      </c>
      <c r="BC819" s="4" t="s">
        <v>1047</v>
      </c>
      <c r="BD819" s="4" t="s">
        <v>1047</v>
      </c>
    </row>
    <row r="820" spans="54:56">
      <c r="BB820" s="4" t="s">
        <v>1264</v>
      </c>
      <c r="BC820" s="4" t="s">
        <v>1047</v>
      </c>
      <c r="BD820" s="4" t="s">
        <v>1047</v>
      </c>
    </row>
    <row r="821" spans="54:56">
      <c r="BB821" s="4" t="s">
        <v>1265</v>
      </c>
      <c r="BC821" s="4" t="s">
        <v>1047</v>
      </c>
      <c r="BD821" s="4" t="s">
        <v>1047</v>
      </c>
    </row>
    <row r="822" spans="54:56">
      <c r="BB822" s="4" t="s">
        <v>1266</v>
      </c>
      <c r="BC822" s="4" t="s">
        <v>1047</v>
      </c>
      <c r="BD822" s="4" t="s">
        <v>1047</v>
      </c>
    </row>
    <row r="823" spans="54:56">
      <c r="BB823" s="4" t="s">
        <v>1277</v>
      </c>
      <c r="BC823" s="4" t="s">
        <v>1047</v>
      </c>
      <c r="BD823" s="4" t="s">
        <v>1047</v>
      </c>
    </row>
    <row r="824" spans="54:56">
      <c r="BB824" s="4" t="s">
        <v>2034</v>
      </c>
      <c r="BC824" s="4" t="s">
        <v>1047</v>
      </c>
      <c r="BD824" s="4" t="s">
        <v>1047</v>
      </c>
    </row>
    <row r="825" spans="54:56">
      <c r="BB825" s="4" t="s">
        <v>1261</v>
      </c>
      <c r="BC825" s="4" t="s">
        <v>1260</v>
      </c>
      <c r="BD825" s="4" t="s">
        <v>1047</v>
      </c>
    </row>
    <row r="826" spans="54:56">
      <c r="BB826" s="4" t="s">
        <v>1054</v>
      </c>
      <c r="BC826" s="4" t="s">
        <v>2033</v>
      </c>
      <c r="BD826" s="4" t="s">
        <v>1047</v>
      </c>
    </row>
    <row r="827" spans="54:56">
      <c r="BB827" s="4" t="s">
        <v>1268</v>
      </c>
      <c r="BC827" s="4" t="s">
        <v>1267</v>
      </c>
      <c r="BD827" s="4" t="s">
        <v>1047</v>
      </c>
    </row>
    <row r="828" spans="54:56">
      <c r="BB828" s="4" t="s">
        <v>1259</v>
      </c>
      <c r="BC828" s="4" t="s">
        <v>1258</v>
      </c>
      <c r="BD828" s="4" t="s">
        <v>1047</v>
      </c>
    </row>
    <row r="829" spans="54:56">
      <c r="BB829" s="4" t="s">
        <v>1237</v>
      </c>
      <c r="BC829" s="4" t="s">
        <v>1236</v>
      </c>
      <c r="BD829" s="4" t="s">
        <v>1234</v>
      </c>
    </row>
    <row r="830" spans="54:56">
      <c r="BB830" s="4" t="s">
        <v>1235</v>
      </c>
      <c r="BC830" s="4" t="s">
        <v>1234</v>
      </c>
      <c r="BD830" s="4" t="s">
        <v>1234</v>
      </c>
    </row>
    <row r="831" spans="54:56">
      <c r="BB831" s="4" t="s">
        <v>1276</v>
      </c>
      <c r="BC831" s="4" t="s">
        <v>1234</v>
      </c>
      <c r="BD831" s="4" t="s">
        <v>1234</v>
      </c>
    </row>
    <row r="832" spans="54:56">
      <c r="BB832" s="4" t="s">
        <v>1253</v>
      </c>
      <c r="BC832" s="4" t="s">
        <v>1252</v>
      </c>
      <c r="BD832" s="4" t="s">
        <v>1234</v>
      </c>
    </row>
    <row r="833" spans="54:56">
      <c r="BB833" s="4" t="s">
        <v>1275</v>
      </c>
      <c r="BC833" s="4" t="s">
        <v>1252</v>
      </c>
      <c r="BD833" s="4" t="s">
        <v>1234</v>
      </c>
    </row>
    <row r="834" spans="54:56">
      <c r="BB834" s="4" t="s">
        <v>947</v>
      </c>
      <c r="BC834" s="4" t="s">
        <v>946</v>
      </c>
      <c r="BD834" s="4" t="s">
        <v>946</v>
      </c>
    </row>
    <row r="835" spans="54:56">
      <c r="BB835" s="4" t="s">
        <v>953</v>
      </c>
      <c r="BC835" s="4" t="s">
        <v>946</v>
      </c>
      <c r="BD835" s="4" t="s">
        <v>946</v>
      </c>
    </row>
    <row r="836" spans="54:56">
      <c r="BB836" s="4" t="s">
        <v>1039</v>
      </c>
      <c r="BC836" s="4" t="s">
        <v>946</v>
      </c>
      <c r="BD836" s="4" t="s">
        <v>946</v>
      </c>
    </row>
    <row r="837" spans="54:56">
      <c r="BB837" s="4" t="s">
        <v>945</v>
      </c>
      <c r="BC837" s="4" t="s">
        <v>944</v>
      </c>
      <c r="BD837" s="4" t="s">
        <v>946</v>
      </c>
    </row>
    <row r="838" spans="54:56">
      <c r="BB838" s="4" t="s">
        <v>949</v>
      </c>
      <c r="BC838" s="4" t="s">
        <v>948</v>
      </c>
      <c r="BD838" s="4" t="s">
        <v>946</v>
      </c>
    </row>
    <row r="839" spans="54:56">
      <c r="BB839" s="4" t="s">
        <v>955</v>
      </c>
      <c r="BC839" s="4" t="s">
        <v>954</v>
      </c>
      <c r="BD839" s="4" t="s">
        <v>946</v>
      </c>
    </row>
    <row r="840" spans="54:56">
      <c r="BB840" s="4" t="s">
        <v>950</v>
      </c>
      <c r="BC840" s="4" t="s">
        <v>946</v>
      </c>
      <c r="BD840" s="4" t="s">
        <v>946</v>
      </c>
    </row>
    <row r="841" spans="54:56">
      <c r="BB841" s="4" t="s">
        <v>951</v>
      </c>
      <c r="BC841" s="4" t="s">
        <v>946</v>
      </c>
      <c r="BD841" s="4" t="s">
        <v>946</v>
      </c>
    </row>
    <row r="842" spans="54:56">
      <c r="BB842" s="4" t="s">
        <v>49</v>
      </c>
      <c r="BC842" s="4" t="s">
        <v>48</v>
      </c>
      <c r="BD842" s="4" t="s">
        <v>23</v>
      </c>
    </row>
    <row r="843" spans="54:56">
      <c r="BB843" s="4" t="s">
        <v>53</v>
      </c>
      <c r="BC843" s="4" t="s">
        <v>52</v>
      </c>
      <c r="BD843" s="4" t="s">
        <v>23</v>
      </c>
    </row>
    <row r="844" spans="54:56">
      <c r="BB844" s="4" t="s">
        <v>41</v>
      </c>
      <c r="BC844" s="4" t="s">
        <v>40</v>
      </c>
      <c r="BD844" s="4" t="s">
        <v>23</v>
      </c>
    </row>
    <row r="845" spans="54:56">
      <c r="BB845" s="4" t="s">
        <v>45</v>
      </c>
      <c r="BC845" s="4" t="s">
        <v>44</v>
      </c>
      <c r="BD845" s="4" t="s">
        <v>23</v>
      </c>
    </row>
    <row r="846" spans="54:56">
      <c r="BB846" s="4" t="s">
        <v>24</v>
      </c>
      <c r="BC846" s="4" t="s">
        <v>23</v>
      </c>
      <c r="BD846" s="4" t="s">
        <v>23</v>
      </c>
    </row>
    <row r="847" spans="54:56">
      <c r="BB847" s="4" t="s">
        <v>39</v>
      </c>
      <c r="BC847" s="4" t="s">
        <v>23</v>
      </c>
      <c r="BD847" s="4" t="s">
        <v>23</v>
      </c>
    </row>
    <row r="848" spans="54:56">
      <c r="BB848" s="4" t="s">
        <v>389</v>
      </c>
      <c r="BC848" s="4" t="s">
        <v>23</v>
      </c>
      <c r="BD848" s="4" t="s">
        <v>23</v>
      </c>
    </row>
    <row r="849" spans="54:56">
      <c r="BB849" s="4" t="s">
        <v>952</v>
      </c>
      <c r="BC849" s="4" t="s">
        <v>23</v>
      </c>
      <c r="BD849" s="4" t="s">
        <v>23</v>
      </c>
    </row>
    <row r="850" spans="54:56">
      <c r="BB850" s="4" t="s">
        <v>2035</v>
      </c>
      <c r="BC850" s="4" t="s">
        <v>23</v>
      </c>
      <c r="BD850" s="4" t="s">
        <v>23</v>
      </c>
    </row>
    <row r="851" spans="54:56">
      <c r="BB851" s="4" t="s">
        <v>8</v>
      </c>
      <c r="BC851" s="4" t="s">
        <v>23</v>
      </c>
      <c r="BD851" s="4" t="s">
        <v>23</v>
      </c>
    </row>
    <row r="852" spans="54:56">
      <c r="BB852" s="4" t="s">
        <v>51</v>
      </c>
      <c r="BC852" s="4" t="s">
        <v>50</v>
      </c>
      <c r="BD852" s="4" t="s">
        <v>23</v>
      </c>
    </row>
    <row r="853" spans="54:56">
      <c r="BB853" s="4" t="s">
        <v>47</v>
      </c>
      <c r="BC853" s="4" t="s">
        <v>46</v>
      </c>
      <c r="BD853" s="4" t="s">
        <v>23</v>
      </c>
    </row>
    <row r="854" spans="54:56">
      <c r="BB854" s="4" t="s">
        <v>43</v>
      </c>
      <c r="BC854" s="4" t="s">
        <v>42</v>
      </c>
      <c r="BD854" s="4" t="s">
        <v>23</v>
      </c>
    </row>
    <row r="855" spans="54:56">
      <c r="BB855" s="4" t="s">
        <v>62</v>
      </c>
      <c r="BC855" s="4" t="s">
        <v>61</v>
      </c>
      <c r="BD855" s="4" t="s">
        <v>61</v>
      </c>
    </row>
    <row r="856" spans="54:56">
      <c r="BB856" s="4" t="s">
        <v>72</v>
      </c>
      <c r="BC856" s="4" t="s">
        <v>61</v>
      </c>
      <c r="BD856" s="4" t="s">
        <v>61</v>
      </c>
    </row>
    <row r="857" spans="54:56">
      <c r="BB857" s="4" t="s">
        <v>73</v>
      </c>
      <c r="BC857" s="4" t="s">
        <v>61</v>
      </c>
      <c r="BD857" s="4" t="s">
        <v>61</v>
      </c>
    </row>
    <row r="858" spans="54:56">
      <c r="BB858" s="4" t="s">
        <v>89</v>
      </c>
      <c r="BC858" s="4" t="s">
        <v>61</v>
      </c>
      <c r="BD858" s="4" t="s">
        <v>61</v>
      </c>
    </row>
    <row r="859" spans="54:56">
      <c r="BB859" s="4" t="s">
        <v>90</v>
      </c>
      <c r="BC859" s="4" t="s">
        <v>61</v>
      </c>
      <c r="BD859" s="4" t="s">
        <v>61</v>
      </c>
    </row>
    <row r="860" spans="54:56">
      <c r="BB860" s="4" t="s">
        <v>71</v>
      </c>
      <c r="BC860" s="4" t="s">
        <v>70</v>
      </c>
      <c r="BD860" s="4" t="s">
        <v>61</v>
      </c>
    </row>
    <row r="861" spans="54:56">
      <c r="BB861" s="4" t="s">
        <v>85</v>
      </c>
      <c r="BC861" s="4" t="s">
        <v>84</v>
      </c>
      <c r="BD861" s="4" t="s">
        <v>61</v>
      </c>
    </row>
    <row r="862" spans="54:56">
      <c r="BB862" s="4" t="s">
        <v>83</v>
      </c>
      <c r="BC862" s="4" t="s">
        <v>82</v>
      </c>
      <c r="BD862" s="4" t="s">
        <v>63</v>
      </c>
    </row>
    <row r="863" spans="54:56">
      <c r="BB863" s="4" t="s">
        <v>64</v>
      </c>
      <c r="BC863" s="4" t="s">
        <v>63</v>
      </c>
      <c r="BD863" s="4" t="s">
        <v>63</v>
      </c>
    </row>
    <row r="864" spans="54:56">
      <c r="BB864" s="4" t="s">
        <v>65</v>
      </c>
      <c r="BC864" s="4" t="s">
        <v>63</v>
      </c>
      <c r="BD864" s="4" t="s">
        <v>63</v>
      </c>
    </row>
    <row r="865" spans="54:56">
      <c r="BB865" s="4" t="s">
        <v>91</v>
      </c>
      <c r="BC865" s="4" t="s">
        <v>63</v>
      </c>
      <c r="BD865" s="4" t="s">
        <v>63</v>
      </c>
    </row>
    <row r="866" spans="54:56">
      <c r="BB866" s="4" t="s">
        <v>81</v>
      </c>
      <c r="BC866" s="4" t="s">
        <v>80</v>
      </c>
      <c r="BD866" s="4" t="s">
        <v>63</v>
      </c>
    </row>
    <row r="867" spans="54:56">
      <c r="BB867" s="4" t="s">
        <v>79</v>
      </c>
      <c r="BC867" s="4" t="s">
        <v>78</v>
      </c>
      <c r="BD867" s="4" t="s">
        <v>63</v>
      </c>
    </row>
    <row r="868" spans="54:56">
      <c r="BB868" s="4" t="s">
        <v>60</v>
      </c>
      <c r="BC868" s="4" t="s">
        <v>59</v>
      </c>
      <c r="BD868" s="4" t="s">
        <v>14</v>
      </c>
    </row>
    <row r="869" spans="54:56">
      <c r="BB869" s="4" t="s">
        <v>69</v>
      </c>
      <c r="BC869" s="4" t="s">
        <v>68</v>
      </c>
      <c r="BD869" s="4" t="s">
        <v>14</v>
      </c>
    </row>
    <row r="870" spans="54:56">
      <c r="BB870" s="4" t="s">
        <v>58</v>
      </c>
      <c r="BC870" s="4" t="s">
        <v>57</v>
      </c>
      <c r="BD870" s="4" t="s">
        <v>14</v>
      </c>
    </row>
    <row r="871" spans="54:56">
      <c r="BB871" s="4" t="s">
        <v>67</v>
      </c>
      <c r="BC871" s="4" t="s">
        <v>66</v>
      </c>
      <c r="BD871" s="4" t="s">
        <v>14</v>
      </c>
    </row>
    <row r="872" spans="54:56">
      <c r="BB872" s="4" t="s">
        <v>75</v>
      </c>
      <c r="BC872" s="4" t="s">
        <v>74</v>
      </c>
      <c r="BD872" s="4" t="s">
        <v>14</v>
      </c>
    </row>
    <row r="873" spans="54:56">
      <c r="BB873" s="4" t="s">
        <v>56</v>
      </c>
      <c r="BC873" s="4" t="s">
        <v>55</v>
      </c>
      <c r="BD873" s="4" t="s">
        <v>14</v>
      </c>
    </row>
    <row r="874" spans="54:56">
      <c r="BB874" s="4" t="s">
        <v>54</v>
      </c>
      <c r="BC874" s="4" t="s">
        <v>14</v>
      </c>
      <c r="BD874" s="4" t="s">
        <v>14</v>
      </c>
    </row>
    <row r="875" spans="54:56">
      <c r="BB875" s="4" t="s">
        <v>86</v>
      </c>
      <c r="BC875" s="4" t="s">
        <v>14</v>
      </c>
      <c r="BD875" s="4" t="s">
        <v>14</v>
      </c>
    </row>
    <row r="876" spans="54:56">
      <c r="BB876" s="4" t="s">
        <v>2036</v>
      </c>
      <c r="BC876" s="4" t="s">
        <v>14</v>
      </c>
      <c r="BD876" s="4" t="s">
        <v>14</v>
      </c>
    </row>
    <row r="877" spans="54:56">
      <c r="BB877" s="4" t="s">
        <v>1376</v>
      </c>
      <c r="BC877" s="4" t="s">
        <v>14</v>
      </c>
      <c r="BD877" s="4" t="s">
        <v>14</v>
      </c>
    </row>
    <row r="878" spans="54:56">
      <c r="BB878" s="4" t="s">
        <v>1377</v>
      </c>
      <c r="BC878" s="4" t="s">
        <v>14</v>
      </c>
      <c r="BD878" s="4" t="s">
        <v>14</v>
      </c>
    </row>
    <row r="879" spans="54:56">
      <c r="BB879" s="4" t="s">
        <v>77</v>
      </c>
      <c r="BC879" s="4" t="s">
        <v>76</v>
      </c>
      <c r="BD879" s="4" t="s">
        <v>14</v>
      </c>
    </row>
    <row r="880" spans="54:56">
      <c r="BB880" s="4" t="s">
        <v>1148</v>
      </c>
      <c r="BC880" s="4" t="s">
        <v>1147</v>
      </c>
      <c r="BD880" s="4" t="s">
        <v>15</v>
      </c>
    </row>
    <row r="881" spans="54:56">
      <c r="BB881" s="4" t="s">
        <v>1166</v>
      </c>
      <c r="BC881" s="4" t="s">
        <v>1165</v>
      </c>
      <c r="BD881" s="4" t="s">
        <v>15</v>
      </c>
    </row>
    <row r="882" spans="54:56">
      <c r="BB882" s="4" t="s">
        <v>1178</v>
      </c>
      <c r="BC882" s="4" t="s">
        <v>1177</v>
      </c>
      <c r="BD882" s="4" t="s">
        <v>15</v>
      </c>
    </row>
    <row r="883" spans="54:56">
      <c r="BB883" s="4" t="s">
        <v>1158</v>
      </c>
      <c r="BC883" s="4" t="s">
        <v>5</v>
      </c>
      <c r="BD883" s="4" t="s">
        <v>15</v>
      </c>
    </row>
    <row r="884" spans="54:56">
      <c r="BB884" s="4" t="s">
        <v>6</v>
      </c>
      <c r="BC884" s="4" t="s">
        <v>5</v>
      </c>
      <c r="BD884" s="4" t="s">
        <v>15</v>
      </c>
    </row>
    <row r="885" spans="54:56">
      <c r="BB885" s="4" t="s">
        <v>2037</v>
      </c>
      <c r="BC885" s="4" t="s">
        <v>5</v>
      </c>
      <c r="BD885" s="4" t="s">
        <v>15</v>
      </c>
    </row>
    <row r="886" spans="54:56">
      <c r="BB886" s="4" t="s">
        <v>1529</v>
      </c>
      <c r="BC886" s="4" t="s">
        <v>5</v>
      </c>
      <c r="BD886" s="4" t="s">
        <v>15</v>
      </c>
    </row>
    <row r="887" spans="54:56">
      <c r="BB887" s="4" t="s">
        <v>1176</v>
      </c>
      <c r="BC887" s="4" t="s">
        <v>1128</v>
      </c>
      <c r="BD887" s="4" t="s">
        <v>15</v>
      </c>
    </row>
    <row r="888" spans="54:56">
      <c r="BB888" s="4" t="s">
        <v>1146</v>
      </c>
      <c r="BC888" s="4" t="s">
        <v>1145</v>
      </c>
      <c r="BD888" s="4" t="s">
        <v>15</v>
      </c>
    </row>
    <row r="889" spans="54:56">
      <c r="BB889" s="4" t="s">
        <v>1525</v>
      </c>
      <c r="BC889" s="4" t="s">
        <v>1145</v>
      </c>
      <c r="BD889" s="4" t="s">
        <v>15</v>
      </c>
    </row>
    <row r="890" spans="54:56">
      <c r="BB890" s="4" t="s">
        <v>1157</v>
      </c>
      <c r="BC890" s="4" t="s">
        <v>1156</v>
      </c>
      <c r="BD890" s="4" t="s">
        <v>15</v>
      </c>
    </row>
    <row r="891" spans="54:56">
      <c r="BB891" s="4" t="s">
        <v>1144</v>
      </c>
      <c r="BC891" s="4" t="s">
        <v>1143</v>
      </c>
      <c r="BD891" s="4" t="s">
        <v>15</v>
      </c>
    </row>
    <row r="892" spans="54:56">
      <c r="BB892" s="4" t="s">
        <v>1150</v>
      </c>
      <c r="BC892" s="4" t="s">
        <v>1149</v>
      </c>
      <c r="BD892" s="4" t="s">
        <v>15</v>
      </c>
    </row>
    <row r="893" spans="54:56">
      <c r="BB893" s="4" t="s">
        <v>1530</v>
      </c>
      <c r="BC893" s="4" t="s">
        <v>1149</v>
      </c>
      <c r="BD893" s="4" t="s">
        <v>15</v>
      </c>
    </row>
    <row r="894" spans="54:56">
      <c r="BB894" s="4" t="s">
        <v>1040</v>
      </c>
      <c r="BC894" s="4" t="s">
        <v>15</v>
      </c>
      <c r="BD894" s="4" t="s">
        <v>15</v>
      </c>
    </row>
    <row r="895" spans="54:56">
      <c r="BB895" s="4" t="s">
        <v>1175</v>
      </c>
      <c r="BC895" s="4" t="s">
        <v>15</v>
      </c>
      <c r="BD895" s="4" t="s">
        <v>15</v>
      </c>
    </row>
    <row r="896" spans="54:56">
      <c r="BB896" s="4" t="s">
        <v>1186</v>
      </c>
      <c r="BC896" s="4" t="s">
        <v>15</v>
      </c>
      <c r="BD896" s="4" t="s">
        <v>15</v>
      </c>
    </row>
    <row r="897" spans="54:56">
      <c r="BB897" s="4" t="s">
        <v>1527</v>
      </c>
      <c r="BC897" s="4" t="s">
        <v>15</v>
      </c>
      <c r="BD897" s="4" t="s">
        <v>15</v>
      </c>
    </row>
    <row r="898" spans="54:56">
      <c r="BB898" s="4" t="s">
        <v>1528</v>
      </c>
      <c r="BC898" s="4" t="s">
        <v>15</v>
      </c>
      <c r="BD898" s="4" t="s">
        <v>15</v>
      </c>
    </row>
    <row r="899" spans="54:56">
      <c r="BB899" s="4" t="s">
        <v>1168</v>
      </c>
      <c r="BC899" s="4" t="s">
        <v>1167</v>
      </c>
      <c r="BD899" s="4" t="s">
        <v>15</v>
      </c>
    </row>
    <row r="900" spans="54:56">
      <c r="BB900" s="4" t="s">
        <v>1160</v>
      </c>
      <c r="BC900" s="4" t="s">
        <v>1159</v>
      </c>
      <c r="BD900" s="4" t="s">
        <v>15</v>
      </c>
    </row>
    <row r="901" spans="54:56">
      <c r="BB901" s="4" t="s">
        <v>1154</v>
      </c>
      <c r="BC901" s="4" t="s">
        <v>1153</v>
      </c>
      <c r="BD901" s="4" t="s">
        <v>15</v>
      </c>
    </row>
    <row r="902" spans="54:56">
      <c r="BB902" s="4" t="s">
        <v>1155</v>
      </c>
      <c r="BC902" s="4" t="s">
        <v>1153</v>
      </c>
      <c r="BD902" s="4" t="s">
        <v>15</v>
      </c>
    </row>
    <row r="903" spans="54:56">
      <c r="BB903" s="4" t="s">
        <v>1185</v>
      </c>
      <c r="BC903" s="4" t="s">
        <v>205</v>
      </c>
      <c r="BD903" s="4" t="s">
        <v>15</v>
      </c>
    </row>
    <row r="904" spans="54:56">
      <c r="BB904" s="4" t="s">
        <v>1170</v>
      </c>
      <c r="BC904" s="4" t="s">
        <v>1169</v>
      </c>
      <c r="BD904" s="4" t="s">
        <v>15</v>
      </c>
    </row>
    <row r="905" spans="54:56">
      <c r="BB905" s="4" t="s">
        <v>1140</v>
      </c>
      <c r="BC905" s="4" t="s">
        <v>1139</v>
      </c>
      <c r="BD905" s="4" t="s">
        <v>15</v>
      </c>
    </row>
    <row r="906" spans="54:56">
      <c r="BB906" s="4" t="s">
        <v>1182</v>
      </c>
      <c r="BC906" s="4" t="s">
        <v>1181</v>
      </c>
      <c r="BD906" s="4" t="s">
        <v>15</v>
      </c>
    </row>
    <row r="907" spans="54:56">
      <c r="BB907" s="4" t="s">
        <v>1184</v>
      </c>
      <c r="BC907" s="4" t="s">
        <v>1183</v>
      </c>
      <c r="BD907" s="4" t="s">
        <v>15</v>
      </c>
    </row>
    <row r="908" spans="54:56">
      <c r="BB908" s="4" t="s">
        <v>1138</v>
      </c>
      <c r="BC908" s="4" t="s">
        <v>1137</v>
      </c>
      <c r="BD908" s="4" t="s">
        <v>15</v>
      </c>
    </row>
    <row r="909" spans="54:56">
      <c r="BB909" s="4" t="s">
        <v>1524</v>
      </c>
      <c r="BC909" s="4" t="s">
        <v>1137</v>
      </c>
      <c r="BD909" s="4" t="s">
        <v>15</v>
      </c>
    </row>
    <row r="910" spans="54:56">
      <c r="BB910" s="4" t="s">
        <v>1532</v>
      </c>
      <c r="BC910" s="4" t="s">
        <v>1137</v>
      </c>
      <c r="BD910" s="4" t="s">
        <v>15</v>
      </c>
    </row>
    <row r="911" spans="54:56">
      <c r="BB911" s="4" t="s">
        <v>1164</v>
      </c>
      <c r="BC911" s="4" t="s">
        <v>1163</v>
      </c>
      <c r="BD911" s="4" t="s">
        <v>15</v>
      </c>
    </row>
    <row r="912" spans="54:56">
      <c r="BB912" s="4" t="s">
        <v>1152</v>
      </c>
      <c r="BC912" s="4" t="s">
        <v>1151</v>
      </c>
      <c r="BD912" s="4" t="s">
        <v>15</v>
      </c>
    </row>
    <row r="913" spans="54:56">
      <c r="BB913" s="4" t="s">
        <v>1531</v>
      </c>
      <c r="BC913" s="4" t="s">
        <v>1151</v>
      </c>
      <c r="BD913" s="4" t="s">
        <v>15</v>
      </c>
    </row>
    <row r="914" spans="54:56">
      <c r="BB914" s="4" t="s">
        <v>1180</v>
      </c>
      <c r="BC914" s="4" t="s">
        <v>1179</v>
      </c>
      <c r="BD914" s="4" t="s">
        <v>15</v>
      </c>
    </row>
    <row r="915" spans="54:56">
      <c r="BB915" s="4" t="s">
        <v>1172</v>
      </c>
      <c r="BC915" s="4" t="s">
        <v>1171</v>
      </c>
      <c r="BD915" s="4" t="s">
        <v>15</v>
      </c>
    </row>
    <row r="916" spans="54:56">
      <c r="BB916" s="4" t="s">
        <v>1142</v>
      </c>
      <c r="BC916" s="4" t="s">
        <v>1141</v>
      </c>
      <c r="BD916" s="4" t="s">
        <v>15</v>
      </c>
    </row>
    <row r="917" spans="54:56">
      <c r="BB917" s="4" t="s">
        <v>1162</v>
      </c>
      <c r="BC917" s="4" t="s">
        <v>1161</v>
      </c>
      <c r="BD917" s="4" t="s">
        <v>15</v>
      </c>
    </row>
    <row r="918" spans="54:56">
      <c r="BB918" s="4" t="s">
        <v>1174</v>
      </c>
      <c r="BC918" s="4" t="s">
        <v>1173</v>
      </c>
      <c r="BD918" s="4" t="s">
        <v>15</v>
      </c>
    </row>
    <row r="919" spans="54:56">
      <c r="BB919" s="4" t="s">
        <v>1332</v>
      </c>
      <c r="BC919" s="4" t="s">
        <v>1173</v>
      </c>
      <c r="BD919" s="4" t="s">
        <v>15</v>
      </c>
    </row>
    <row r="920" spans="54:56">
      <c r="BB920" s="4" t="s">
        <v>1526</v>
      </c>
      <c r="BC920" s="4" t="s">
        <v>1173</v>
      </c>
      <c r="BD920" s="4" t="s">
        <v>15</v>
      </c>
    </row>
    <row r="921" spans="54:56">
      <c r="BB921" s="4" t="s">
        <v>939</v>
      </c>
      <c r="BC921" s="4" t="s">
        <v>938</v>
      </c>
      <c r="BD921" s="4" t="s">
        <v>938</v>
      </c>
    </row>
    <row r="922" spans="54:56">
      <c r="BB922" s="4" t="s">
        <v>942</v>
      </c>
      <c r="BC922" s="4" t="s">
        <v>938</v>
      </c>
      <c r="BD922" s="4" t="s">
        <v>938</v>
      </c>
    </row>
    <row r="923" spans="54:56">
      <c r="BB923" s="4" t="s">
        <v>943</v>
      </c>
      <c r="BC923" s="4" t="s">
        <v>938</v>
      </c>
      <c r="BD923" s="4" t="s">
        <v>938</v>
      </c>
    </row>
    <row r="924" spans="54:56">
      <c r="BB924" s="4" t="s">
        <v>941</v>
      </c>
      <c r="BC924" s="4" t="s">
        <v>940</v>
      </c>
      <c r="BD924" s="4" t="s">
        <v>938</v>
      </c>
    </row>
    <row r="925" spans="54:56">
      <c r="BB925" s="4" t="s">
        <v>979</v>
      </c>
      <c r="BC925" s="4" t="s">
        <v>978</v>
      </c>
      <c r="BD925" s="4" t="s">
        <v>978</v>
      </c>
    </row>
    <row r="926" spans="54:56">
      <c r="BB926" s="4" t="s">
        <v>982</v>
      </c>
      <c r="BC926" s="4" t="s">
        <v>978</v>
      </c>
      <c r="BD926" s="4" t="s">
        <v>978</v>
      </c>
    </row>
    <row r="927" spans="54:56">
      <c r="BB927" s="4" t="s">
        <v>983</v>
      </c>
      <c r="BC927" s="4" t="s">
        <v>978</v>
      </c>
      <c r="BD927" s="4" t="s">
        <v>978</v>
      </c>
    </row>
    <row r="928" spans="54:56">
      <c r="BB928" s="4" t="s">
        <v>1061</v>
      </c>
      <c r="BC928" s="4" t="s">
        <v>978</v>
      </c>
      <c r="BD928" s="4" t="s">
        <v>978</v>
      </c>
    </row>
    <row r="929" spans="54:56">
      <c r="BB929" s="4" t="s">
        <v>32</v>
      </c>
      <c r="BC929" s="4" t="s">
        <v>31</v>
      </c>
      <c r="BD929" s="4" t="s">
        <v>20</v>
      </c>
    </row>
    <row r="930" spans="54:56">
      <c r="BB930" s="4" t="s">
        <v>34</v>
      </c>
      <c r="BC930" s="4" t="s">
        <v>33</v>
      </c>
      <c r="BD930" s="4" t="s">
        <v>20</v>
      </c>
    </row>
    <row r="931" spans="54:56">
      <c r="BB931" s="4" t="s">
        <v>38</v>
      </c>
      <c r="BC931" s="4" t="s">
        <v>37</v>
      </c>
      <c r="BD931" s="4" t="s">
        <v>20</v>
      </c>
    </row>
    <row r="932" spans="54:56">
      <c r="BB932" s="4" t="s">
        <v>21</v>
      </c>
      <c r="BC932" s="4" t="s">
        <v>20</v>
      </c>
      <c r="BD932" s="4" t="s">
        <v>20</v>
      </c>
    </row>
    <row r="933" spans="54:56">
      <c r="BB933" s="4" t="s">
        <v>22</v>
      </c>
      <c r="BC933" s="4" t="s">
        <v>20</v>
      </c>
      <c r="BD933" s="4" t="s">
        <v>20</v>
      </c>
    </row>
    <row r="934" spans="54:56">
      <c r="BB934" s="4" t="s">
        <v>87</v>
      </c>
      <c r="BC934" s="4" t="s">
        <v>20</v>
      </c>
      <c r="BD934" s="4" t="s">
        <v>20</v>
      </c>
    </row>
    <row r="935" spans="54:56">
      <c r="BB935" s="4" t="s">
        <v>88</v>
      </c>
      <c r="BC935" s="4" t="s">
        <v>20</v>
      </c>
      <c r="BD935" s="4" t="s">
        <v>20</v>
      </c>
    </row>
    <row r="936" spans="54:56">
      <c r="BB936" s="4" t="s">
        <v>388</v>
      </c>
      <c r="BC936" s="4" t="s">
        <v>20</v>
      </c>
      <c r="BD936" s="4" t="s">
        <v>20</v>
      </c>
    </row>
    <row r="937" spans="54:56">
      <c r="BB937" s="4" t="s">
        <v>2038</v>
      </c>
      <c r="BC937" s="4" t="s">
        <v>20</v>
      </c>
      <c r="BD937" s="4" t="s">
        <v>20</v>
      </c>
    </row>
    <row r="938" spans="54:56">
      <c r="BB938" s="4" t="s">
        <v>30</v>
      </c>
      <c r="BC938" s="4" t="s">
        <v>29</v>
      </c>
      <c r="BD938" s="4" t="s">
        <v>20</v>
      </c>
    </row>
    <row r="939" spans="54:56">
      <c r="BB939" s="4" t="s">
        <v>36</v>
      </c>
      <c r="BC939" s="4" t="s">
        <v>35</v>
      </c>
      <c r="BD939" s="4" t="s">
        <v>20</v>
      </c>
    </row>
    <row r="940" spans="54:56">
      <c r="BB940" s="4" t="s">
        <v>28</v>
      </c>
      <c r="BC940" s="4" t="s">
        <v>27</v>
      </c>
      <c r="BD940" s="4" t="s">
        <v>20</v>
      </c>
    </row>
    <row r="941" spans="54:56">
      <c r="BB941" s="4" t="s">
        <v>1285</v>
      </c>
      <c r="BC941" s="4" t="s">
        <v>1284</v>
      </c>
      <c r="BD941" s="4" t="s">
        <v>373</v>
      </c>
    </row>
    <row r="942" spans="54:56">
      <c r="BB942" s="4" t="s">
        <v>0</v>
      </c>
      <c r="BC942" s="4" t="s">
        <v>1284</v>
      </c>
      <c r="BD942" s="4" t="s">
        <v>373</v>
      </c>
    </row>
    <row r="943" spans="54:56">
      <c r="BB943" s="4" t="s">
        <v>374</v>
      </c>
      <c r="BC943" s="4" t="s">
        <v>373</v>
      </c>
      <c r="BD943" s="4" t="s">
        <v>373</v>
      </c>
    </row>
    <row r="944" spans="54:56">
      <c r="BB944" s="4" t="s">
        <v>1189</v>
      </c>
      <c r="BC944" s="4" t="s">
        <v>373</v>
      </c>
      <c r="BD944" s="4" t="s">
        <v>373</v>
      </c>
    </row>
    <row r="945" spans="54:56">
      <c r="BB945" s="4" t="s">
        <v>2041</v>
      </c>
      <c r="BC945" s="4" t="s">
        <v>373</v>
      </c>
      <c r="BD945" s="4" t="s">
        <v>373</v>
      </c>
    </row>
    <row r="946" spans="54:56">
      <c r="BB946" s="4" t="s">
        <v>1384</v>
      </c>
      <c r="BC946" s="4" t="s">
        <v>373</v>
      </c>
      <c r="BD946" s="4" t="s">
        <v>373</v>
      </c>
    </row>
    <row r="947" spans="54:56">
      <c r="BB947" s="4" t="s">
        <v>1304</v>
      </c>
      <c r="BC947" s="4" t="s">
        <v>373</v>
      </c>
      <c r="BD947" s="4" t="s">
        <v>373</v>
      </c>
    </row>
    <row r="948" spans="54:56">
      <c r="BB948" s="4" t="s">
        <v>1288</v>
      </c>
      <c r="BC948" s="4" t="s">
        <v>1287</v>
      </c>
      <c r="BD948" s="4" t="s">
        <v>373</v>
      </c>
    </row>
    <row r="949" spans="54:56">
      <c r="BB949" s="4" t="s">
        <v>1297</v>
      </c>
      <c r="BC949" s="4" t="s">
        <v>1296</v>
      </c>
      <c r="BD949" s="4" t="s">
        <v>373</v>
      </c>
    </row>
    <row r="950" spans="54:56">
      <c r="BB950" s="4" t="s">
        <v>1303</v>
      </c>
      <c r="BC950" s="4" t="s">
        <v>1302</v>
      </c>
      <c r="BD950" s="4" t="s">
        <v>373</v>
      </c>
    </row>
    <row r="951" spans="54:56">
      <c r="BB951" s="4" t="s">
        <v>1299</v>
      </c>
      <c r="BC951" s="4" t="s">
        <v>1298</v>
      </c>
      <c r="BD951" s="4" t="s">
        <v>373</v>
      </c>
    </row>
    <row r="952" spans="54:56">
      <c r="BB952" s="4" t="s">
        <v>1286</v>
      </c>
      <c r="BC952" s="4" t="s">
        <v>2040</v>
      </c>
      <c r="BD952" s="4" t="s">
        <v>373</v>
      </c>
    </row>
    <row r="953" spans="54:56">
      <c r="BB953" s="4" t="s">
        <v>1292</v>
      </c>
      <c r="BC953" s="4" t="s">
        <v>1291</v>
      </c>
      <c r="BD953" s="4" t="s">
        <v>373</v>
      </c>
    </row>
    <row r="954" spans="54:56">
      <c r="BB954" s="4" t="s">
        <v>1293</v>
      </c>
      <c r="BC954" s="4" t="s">
        <v>2039</v>
      </c>
      <c r="BD954" s="4" t="s">
        <v>373</v>
      </c>
    </row>
    <row r="955" spans="54:56">
      <c r="BB955" s="4" t="s">
        <v>1295</v>
      </c>
      <c r="BC955" s="4" t="s">
        <v>1294</v>
      </c>
      <c r="BD955" s="4" t="s">
        <v>373</v>
      </c>
    </row>
    <row r="956" spans="54:56">
      <c r="BB956" s="4" t="s">
        <v>1301</v>
      </c>
      <c r="BC956" s="4" t="s">
        <v>1300</v>
      </c>
      <c r="BD956" s="4" t="s">
        <v>373</v>
      </c>
    </row>
    <row r="957" spans="54:56">
      <c r="BB957" s="4" t="s">
        <v>1290</v>
      </c>
      <c r="BC957" s="4" t="s">
        <v>358</v>
      </c>
      <c r="BD957" s="4" t="s">
        <v>373</v>
      </c>
    </row>
    <row r="958" spans="54:56">
      <c r="BB958" s="4" t="s">
        <v>1310</v>
      </c>
      <c r="BC958" s="4" t="s">
        <v>1309</v>
      </c>
      <c r="BD958" s="4" t="s">
        <v>1190</v>
      </c>
    </row>
    <row r="959" spans="54:56">
      <c r="BB959" s="4" t="s">
        <v>1191</v>
      </c>
      <c r="BC959" s="4" t="s">
        <v>1190</v>
      </c>
      <c r="BD959" s="4" t="s">
        <v>1190</v>
      </c>
    </row>
    <row r="960" spans="54:56">
      <c r="BB960" s="4" t="s">
        <v>1192</v>
      </c>
      <c r="BC960" s="4" t="s">
        <v>1190</v>
      </c>
      <c r="BD960" s="4" t="s">
        <v>1190</v>
      </c>
    </row>
    <row r="961" spans="54:56">
      <c r="BB961" s="4" t="s">
        <v>1317</v>
      </c>
      <c r="BC961" s="4" t="s">
        <v>1190</v>
      </c>
      <c r="BD961" s="4" t="s">
        <v>1190</v>
      </c>
    </row>
    <row r="962" spans="54:56">
      <c r="BB962" s="4" t="s">
        <v>1383</v>
      </c>
      <c r="BC962" s="4" t="s">
        <v>1190</v>
      </c>
      <c r="BD962" s="4" t="s">
        <v>1190</v>
      </c>
    </row>
    <row r="963" spans="54:56">
      <c r="BB963" s="4" t="s">
        <v>1312</v>
      </c>
      <c r="BC963" s="4" t="s">
        <v>1311</v>
      </c>
      <c r="BD963" s="4" t="s">
        <v>1190</v>
      </c>
    </row>
    <row r="964" spans="54:56">
      <c r="BB964" s="4" t="s">
        <v>2</v>
      </c>
      <c r="BC964" s="4" t="s">
        <v>1311</v>
      </c>
      <c r="BD964" s="4" t="s">
        <v>1190</v>
      </c>
    </row>
    <row r="965" spans="54:56">
      <c r="BB965" s="4" t="s">
        <v>1306</v>
      </c>
      <c r="BC965" s="4" t="s">
        <v>1305</v>
      </c>
      <c r="BD965" s="4" t="s">
        <v>1190</v>
      </c>
    </row>
    <row r="966" spans="54:56">
      <c r="BB966" s="4" t="s">
        <v>1314</v>
      </c>
      <c r="BC966" s="4" t="s">
        <v>1313</v>
      </c>
      <c r="BD966" s="4" t="s">
        <v>1190</v>
      </c>
    </row>
    <row r="967" spans="54:56">
      <c r="BB967" s="4" t="s">
        <v>1321</v>
      </c>
      <c r="BC967" s="4" t="s">
        <v>1320</v>
      </c>
      <c r="BD967" s="4" t="s">
        <v>156</v>
      </c>
    </row>
    <row r="968" spans="54:56">
      <c r="BB968" s="4" t="s">
        <v>1319</v>
      </c>
      <c r="BC968" s="4" t="s">
        <v>1318</v>
      </c>
      <c r="BD968" s="4" t="s">
        <v>156</v>
      </c>
    </row>
    <row r="969" spans="54:56">
      <c r="BB969" s="4" t="s">
        <v>1316</v>
      </c>
      <c r="BC969" s="4" t="s">
        <v>1315</v>
      </c>
      <c r="BD969" s="4" t="s">
        <v>156</v>
      </c>
    </row>
    <row r="970" spans="54:56">
      <c r="BB970" s="4" t="s">
        <v>1307</v>
      </c>
      <c r="BC970" s="4" t="s">
        <v>156</v>
      </c>
      <c r="BD970" s="4" t="s">
        <v>156</v>
      </c>
    </row>
    <row r="971" spans="54:56">
      <c r="BB971" s="4" t="s">
        <v>1</v>
      </c>
      <c r="BC971" s="4" t="s">
        <v>156</v>
      </c>
      <c r="BD971" s="4" t="s">
        <v>156</v>
      </c>
    </row>
    <row r="972" spans="54:56">
      <c r="BB972" s="4" t="s">
        <v>155</v>
      </c>
      <c r="BC972" s="4" t="s">
        <v>154</v>
      </c>
      <c r="BD972" s="4" t="s">
        <v>156</v>
      </c>
    </row>
    <row r="973" spans="54:56">
      <c r="BB973" s="4" t="s">
        <v>1308</v>
      </c>
      <c r="BC973" s="4" t="s">
        <v>154</v>
      </c>
      <c r="BD973" s="4" t="s">
        <v>156</v>
      </c>
    </row>
    <row r="974" spans="54:56">
      <c r="BB974" s="4" t="s">
        <v>1381</v>
      </c>
      <c r="BC974" s="4" t="s">
        <v>154</v>
      </c>
      <c r="BD974" s="4" t="s">
        <v>156</v>
      </c>
    </row>
    <row r="975" spans="54:56">
      <c r="BB975" s="4" t="s">
        <v>139</v>
      </c>
      <c r="BC975" s="4" t="s">
        <v>13</v>
      </c>
      <c r="BD975" s="4" t="s">
        <v>13</v>
      </c>
    </row>
    <row r="976" spans="54:56">
      <c r="BB976" s="4" t="s">
        <v>140</v>
      </c>
      <c r="BC976" s="4" t="s">
        <v>13</v>
      </c>
      <c r="BD976" s="4" t="s">
        <v>13</v>
      </c>
    </row>
    <row r="977" spans="54:56">
      <c r="BB977" s="4" t="s">
        <v>153</v>
      </c>
      <c r="BC977" s="4" t="s">
        <v>13</v>
      </c>
      <c r="BD977" s="4" t="s">
        <v>13</v>
      </c>
    </row>
    <row r="978" spans="54:56">
      <c r="BB978" s="4" t="s">
        <v>142</v>
      </c>
      <c r="BC978" s="4" t="s">
        <v>141</v>
      </c>
      <c r="BD978" s="4" t="s">
        <v>13</v>
      </c>
    </row>
    <row r="979" spans="54:56">
      <c r="BB979" s="4" t="s">
        <v>152</v>
      </c>
      <c r="BC979" s="4" t="s">
        <v>141</v>
      </c>
      <c r="BD979" s="4" t="s">
        <v>13</v>
      </c>
    </row>
    <row r="980" spans="54:56">
      <c r="BB980" s="4" t="s">
        <v>148</v>
      </c>
      <c r="BC980" s="4" t="s">
        <v>147</v>
      </c>
      <c r="BD980" s="4" t="s">
        <v>13</v>
      </c>
    </row>
    <row r="981" spans="54:56">
      <c r="BB981" s="4" t="s">
        <v>144</v>
      </c>
      <c r="BC981" s="4" t="s">
        <v>143</v>
      </c>
      <c r="BD981" s="4" t="s">
        <v>13</v>
      </c>
    </row>
    <row r="982" spans="54:56">
      <c r="BB982" s="4" t="s">
        <v>150</v>
      </c>
      <c r="BC982" s="4" t="s">
        <v>149</v>
      </c>
      <c r="BD982" s="4" t="s">
        <v>13</v>
      </c>
    </row>
    <row r="983" spans="54:56">
      <c r="BB983" s="4" t="s">
        <v>146</v>
      </c>
      <c r="BC983" s="4" t="s">
        <v>145</v>
      </c>
      <c r="BD983" s="4" t="s">
        <v>13</v>
      </c>
    </row>
    <row r="984" spans="54:56">
      <c r="BB984" s="4" t="s">
        <v>151</v>
      </c>
      <c r="BC984" s="4" t="s">
        <v>145</v>
      </c>
      <c r="BD984" s="4" t="s">
        <v>13</v>
      </c>
    </row>
    <row r="985" spans="54:56">
      <c r="BB985" s="4" t="s">
        <v>114</v>
      </c>
      <c r="BC985" s="4" t="s">
        <v>19</v>
      </c>
      <c r="BD985" s="4" t="s">
        <v>19</v>
      </c>
    </row>
    <row r="986" spans="54:56">
      <c r="BB986" s="4" t="s">
        <v>95</v>
      </c>
      <c r="BC986" s="4" t="s">
        <v>94</v>
      </c>
      <c r="BD986" s="4" t="s">
        <v>19</v>
      </c>
    </row>
    <row r="987" spans="54:56">
      <c r="BB987" s="4" t="s">
        <v>135</v>
      </c>
      <c r="BC987" s="4" t="s">
        <v>94</v>
      </c>
      <c r="BD987" s="4" t="s">
        <v>19</v>
      </c>
    </row>
    <row r="988" spans="54:56">
      <c r="BB988" s="4" t="s">
        <v>2042</v>
      </c>
      <c r="BC988" s="4" t="s">
        <v>94</v>
      </c>
      <c r="BD988" s="4" t="s">
        <v>19</v>
      </c>
    </row>
    <row r="989" spans="54:56">
      <c r="BB989" s="4" t="s">
        <v>93</v>
      </c>
      <c r="BC989" s="4" t="s">
        <v>92</v>
      </c>
      <c r="BD989" s="4" t="s">
        <v>19</v>
      </c>
    </row>
    <row r="990" spans="54:56">
      <c r="BB990" s="4" t="s">
        <v>103</v>
      </c>
      <c r="BC990" s="4" t="s">
        <v>102</v>
      </c>
      <c r="BD990" s="4" t="s">
        <v>19</v>
      </c>
    </row>
    <row r="991" spans="54:56">
      <c r="BB991" s="4" t="s">
        <v>99</v>
      </c>
      <c r="BC991" s="4" t="s">
        <v>98</v>
      </c>
      <c r="BD991" s="4" t="s">
        <v>19</v>
      </c>
    </row>
    <row r="992" spans="54:56">
      <c r="BB992" s="4" t="s">
        <v>97</v>
      </c>
      <c r="BC992" s="4" t="s">
        <v>96</v>
      </c>
      <c r="BD992" s="4" t="s">
        <v>19</v>
      </c>
    </row>
    <row r="993" spans="54:56">
      <c r="BB993" s="4" t="s">
        <v>111</v>
      </c>
      <c r="BC993" s="4" t="s">
        <v>110</v>
      </c>
      <c r="BD993" s="4" t="s">
        <v>19</v>
      </c>
    </row>
    <row r="994" spans="54:56">
      <c r="BB994" s="4" t="s">
        <v>109</v>
      </c>
      <c r="BC994" s="4" t="s">
        <v>108</v>
      </c>
      <c r="BD994" s="4" t="s">
        <v>19</v>
      </c>
    </row>
    <row r="995" spans="54:56">
      <c r="BB995" s="4" t="s">
        <v>101</v>
      </c>
      <c r="BC995" s="4" t="s">
        <v>100</v>
      </c>
      <c r="BD995" s="4" t="s">
        <v>19</v>
      </c>
    </row>
    <row r="996" spans="54:56">
      <c r="BB996" s="4" t="s">
        <v>105</v>
      </c>
      <c r="BC996" s="4" t="s">
        <v>104</v>
      </c>
      <c r="BD996" s="4" t="s">
        <v>19</v>
      </c>
    </row>
    <row r="997" spans="54:56">
      <c r="BB997" s="4" t="s">
        <v>107</v>
      </c>
      <c r="BC997" s="4" t="s">
        <v>106</v>
      </c>
      <c r="BD997" s="4" t="s">
        <v>19</v>
      </c>
    </row>
    <row r="998" spans="54:56">
      <c r="BB998" s="4" t="s">
        <v>116</v>
      </c>
      <c r="BC998" s="4" t="s">
        <v>115</v>
      </c>
      <c r="BD998" s="4" t="s">
        <v>113</v>
      </c>
    </row>
    <row r="999" spans="54:56">
      <c r="BB999" s="4" t="s">
        <v>1333</v>
      </c>
      <c r="BC999" s="4" t="s">
        <v>115</v>
      </c>
      <c r="BD999" s="4" t="s">
        <v>113</v>
      </c>
    </row>
    <row r="1000" spans="54:56">
      <c r="BB1000" s="4" t="s">
        <v>1382</v>
      </c>
      <c r="BC1000" s="4" t="s">
        <v>115</v>
      </c>
      <c r="BD1000" s="4" t="s">
        <v>113</v>
      </c>
    </row>
    <row r="1001" spans="54:56">
      <c r="BB1001" s="4" t="s">
        <v>127</v>
      </c>
      <c r="BC1001" s="4" t="s">
        <v>115</v>
      </c>
      <c r="BD1001" s="4" t="s">
        <v>113</v>
      </c>
    </row>
    <row r="1002" spans="54:56">
      <c r="BB1002" s="4" t="s">
        <v>133</v>
      </c>
      <c r="BC1002" s="4" t="s">
        <v>132</v>
      </c>
      <c r="BD1002" s="4" t="s">
        <v>113</v>
      </c>
    </row>
    <row r="1003" spans="54:56">
      <c r="BB1003" s="4" t="s">
        <v>122</v>
      </c>
      <c r="BC1003" s="4" t="s">
        <v>121</v>
      </c>
      <c r="BD1003" s="4" t="s">
        <v>113</v>
      </c>
    </row>
    <row r="1004" spans="54:56">
      <c r="BB1004" s="4" t="s">
        <v>136</v>
      </c>
      <c r="BC1004" s="4" t="s">
        <v>113</v>
      </c>
      <c r="BD1004" s="4" t="s">
        <v>113</v>
      </c>
    </row>
    <row r="1005" spans="54:56">
      <c r="BB1005" s="4" t="s">
        <v>137</v>
      </c>
      <c r="BC1005" s="4" t="s">
        <v>113</v>
      </c>
      <c r="BD1005" s="4" t="s">
        <v>113</v>
      </c>
    </row>
    <row r="1006" spans="54:56">
      <c r="BB1006" s="4" t="s">
        <v>138</v>
      </c>
      <c r="BC1006" s="4" t="s">
        <v>113</v>
      </c>
      <c r="BD1006" s="4" t="s">
        <v>113</v>
      </c>
    </row>
    <row r="1007" spans="54:56">
      <c r="BB1007" s="4" t="s">
        <v>112</v>
      </c>
      <c r="BC1007" s="4" t="s">
        <v>113</v>
      </c>
      <c r="BD1007" s="4" t="s">
        <v>113</v>
      </c>
    </row>
    <row r="1008" spans="54:56">
      <c r="BB1008" s="4" t="s">
        <v>134</v>
      </c>
      <c r="BC1008" s="4" t="s">
        <v>113</v>
      </c>
      <c r="BD1008" s="4" t="s">
        <v>113</v>
      </c>
    </row>
    <row r="1009" spans="54:56">
      <c r="BB1009" s="4" t="s">
        <v>131</v>
      </c>
      <c r="BC1009" s="4" t="s">
        <v>130</v>
      </c>
      <c r="BD1009" s="4" t="s">
        <v>113</v>
      </c>
    </row>
    <row r="1010" spans="54:56">
      <c r="BB1010" s="4" t="s">
        <v>126</v>
      </c>
      <c r="BC1010" s="4" t="s">
        <v>125</v>
      </c>
      <c r="BD1010" s="4" t="s">
        <v>113</v>
      </c>
    </row>
    <row r="1011" spans="54:56">
      <c r="BB1011" s="4" t="s">
        <v>118</v>
      </c>
      <c r="BC1011" s="4" t="s">
        <v>117</v>
      </c>
      <c r="BD1011" s="4" t="s">
        <v>113</v>
      </c>
    </row>
    <row r="1012" spans="54:56">
      <c r="BB1012" s="4" t="s">
        <v>120</v>
      </c>
      <c r="BC1012" s="4" t="s">
        <v>119</v>
      </c>
      <c r="BD1012" s="4" t="s">
        <v>113</v>
      </c>
    </row>
    <row r="1013" spans="54:56">
      <c r="BB1013" s="4" t="s">
        <v>124</v>
      </c>
      <c r="BC1013" s="4" t="s">
        <v>123</v>
      </c>
      <c r="BD1013" s="4" t="s">
        <v>113</v>
      </c>
    </row>
    <row r="1014" spans="54:56">
      <c r="BB1014" s="4" t="s">
        <v>129</v>
      </c>
      <c r="BC1014" s="4" t="s">
        <v>128</v>
      </c>
      <c r="BD1014" s="4" t="s">
        <v>113</v>
      </c>
    </row>
    <row r="1015" spans="54:56">
      <c r="BB1015" s="4" t="s">
        <v>571</v>
      </c>
      <c r="BC1015" s="4" t="s">
        <v>570</v>
      </c>
      <c r="BD1015" s="4" t="s">
        <v>570</v>
      </c>
    </row>
    <row r="1016" spans="54:56">
      <c r="BB1016" s="4" t="s">
        <v>576</v>
      </c>
      <c r="BC1016" s="4" t="s">
        <v>570</v>
      </c>
      <c r="BD1016" s="4" t="s">
        <v>570</v>
      </c>
    </row>
    <row r="1017" spans="54:56">
      <c r="BB1017" s="4" t="s">
        <v>636</v>
      </c>
      <c r="BC1017" s="4" t="s">
        <v>570</v>
      </c>
      <c r="BD1017" s="4" t="s">
        <v>570</v>
      </c>
    </row>
    <row r="1018" spans="54:56">
      <c r="BB1018" s="4" t="s">
        <v>575</v>
      </c>
      <c r="BC1018" s="4" t="s">
        <v>574</v>
      </c>
      <c r="BD1018" s="4" t="s">
        <v>570</v>
      </c>
    </row>
    <row r="1019" spans="54:56">
      <c r="BB1019" s="4" t="s">
        <v>573</v>
      </c>
      <c r="BC1019" s="4" t="s">
        <v>572</v>
      </c>
      <c r="BD1019" s="4" t="s">
        <v>570</v>
      </c>
    </row>
    <row r="1020" spans="54:56">
      <c r="BB1020" s="4" t="s">
        <v>578</v>
      </c>
      <c r="BC1020" s="4" t="s">
        <v>577</v>
      </c>
      <c r="BD1020" s="4" t="s">
        <v>570</v>
      </c>
    </row>
    <row r="1021" spans="54:56">
      <c r="BB1021" s="4" t="s">
        <v>595</v>
      </c>
      <c r="BC1021" s="4" t="s">
        <v>594</v>
      </c>
      <c r="BD1021" s="4" t="s">
        <v>582</v>
      </c>
    </row>
    <row r="1022" spans="54:56">
      <c r="BB1022" s="4" t="s">
        <v>583</v>
      </c>
      <c r="BC1022" s="4" t="s">
        <v>582</v>
      </c>
      <c r="BD1022" s="4" t="s">
        <v>582</v>
      </c>
    </row>
    <row r="1023" spans="54:56">
      <c r="BB1023" s="4" t="s">
        <v>591</v>
      </c>
      <c r="BC1023" s="4" t="s">
        <v>582</v>
      </c>
      <c r="BD1023" s="4" t="s">
        <v>582</v>
      </c>
    </row>
    <row r="1024" spans="54:56">
      <c r="BB1024" s="4" t="s">
        <v>631</v>
      </c>
      <c r="BC1024" s="4" t="s">
        <v>582</v>
      </c>
      <c r="BD1024" s="4" t="s">
        <v>582</v>
      </c>
    </row>
    <row r="1025" spans="54:56">
      <c r="BB1025" s="4" t="s">
        <v>593</v>
      </c>
      <c r="BC1025" s="4" t="s">
        <v>592</v>
      </c>
      <c r="BD1025" s="4" t="s">
        <v>582</v>
      </c>
    </row>
    <row r="1026" spans="54:56">
      <c r="BB1026" s="4" t="s">
        <v>551</v>
      </c>
      <c r="BC1026" s="4" t="s">
        <v>550</v>
      </c>
      <c r="BD1026" s="4" t="s">
        <v>16</v>
      </c>
    </row>
    <row r="1027" spans="54:56">
      <c r="BB1027" s="4" t="s">
        <v>559</v>
      </c>
      <c r="BC1027" s="4" t="s">
        <v>558</v>
      </c>
      <c r="BD1027" s="4" t="s">
        <v>16</v>
      </c>
    </row>
    <row r="1028" spans="54:56">
      <c r="BB1028" s="4" t="s">
        <v>511</v>
      </c>
      <c r="BC1028" s="4" t="s">
        <v>16</v>
      </c>
      <c r="BD1028" s="4" t="s">
        <v>16</v>
      </c>
    </row>
    <row r="1029" spans="54:56">
      <c r="BB1029" s="4" t="s">
        <v>512</v>
      </c>
      <c r="BC1029" s="4" t="s">
        <v>16</v>
      </c>
      <c r="BD1029" s="4" t="s">
        <v>16</v>
      </c>
    </row>
    <row r="1030" spans="54:56">
      <c r="BB1030" s="4" t="s">
        <v>513</v>
      </c>
      <c r="BC1030" s="4" t="s">
        <v>16</v>
      </c>
      <c r="BD1030" s="4" t="s">
        <v>16</v>
      </c>
    </row>
    <row r="1031" spans="54:56">
      <c r="BB1031" s="4" t="s">
        <v>514</v>
      </c>
      <c r="BC1031" s="4" t="s">
        <v>16</v>
      </c>
      <c r="BD1031" s="4" t="s">
        <v>16</v>
      </c>
    </row>
    <row r="1032" spans="54:56">
      <c r="BB1032" s="4" t="s">
        <v>515</v>
      </c>
      <c r="BC1032" s="4" t="s">
        <v>16</v>
      </c>
      <c r="BD1032" s="4" t="s">
        <v>16</v>
      </c>
    </row>
    <row r="1033" spans="54:56">
      <c r="BB1033" s="4" t="s">
        <v>516</v>
      </c>
      <c r="BC1033" s="4" t="s">
        <v>16</v>
      </c>
      <c r="BD1033" s="4" t="s">
        <v>16</v>
      </c>
    </row>
    <row r="1034" spans="54:56">
      <c r="BB1034" s="4" t="s">
        <v>549</v>
      </c>
      <c r="BC1034" s="4" t="s">
        <v>16</v>
      </c>
      <c r="BD1034" s="4" t="s">
        <v>16</v>
      </c>
    </row>
    <row r="1035" spans="54:56">
      <c r="BB1035" s="4" t="s">
        <v>552</v>
      </c>
      <c r="BC1035" s="4" t="s">
        <v>16</v>
      </c>
      <c r="BD1035" s="4" t="s">
        <v>16</v>
      </c>
    </row>
    <row r="1036" spans="54:56">
      <c r="BB1036" s="4" t="s">
        <v>553</v>
      </c>
      <c r="BC1036" s="4" t="s">
        <v>16</v>
      </c>
      <c r="BD1036" s="4" t="s">
        <v>16</v>
      </c>
    </row>
    <row r="1037" spans="54:56">
      <c r="BB1037" s="4" t="s">
        <v>554</v>
      </c>
      <c r="BC1037" s="4" t="s">
        <v>16</v>
      </c>
      <c r="BD1037" s="4" t="s">
        <v>16</v>
      </c>
    </row>
    <row r="1038" spans="54:56">
      <c r="BB1038" s="4" t="s">
        <v>555</v>
      </c>
      <c r="BC1038" s="4" t="s">
        <v>16</v>
      </c>
      <c r="BD1038" s="4" t="s">
        <v>16</v>
      </c>
    </row>
    <row r="1039" spans="54:56">
      <c r="BB1039" s="4" t="s">
        <v>556</v>
      </c>
      <c r="BC1039" s="4" t="s">
        <v>16</v>
      </c>
      <c r="BD1039" s="4" t="s">
        <v>16</v>
      </c>
    </row>
    <row r="1040" spans="54:56">
      <c r="BB1040" s="4" t="s">
        <v>557</v>
      </c>
      <c r="BC1040" s="4" t="s">
        <v>16</v>
      </c>
      <c r="BD1040" s="4" t="s">
        <v>16</v>
      </c>
    </row>
    <row r="1041" spans="54:56">
      <c r="BB1041" s="4" t="s">
        <v>567</v>
      </c>
      <c r="BC1041" s="4" t="s">
        <v>16</v>
      </c>
      <c r="BD1041" s="4" t="s">
        <v>16</v>
      </c>
    </row>
    <row r="1042" spans="54:56">
      <c r="BB1042" s="4" t="s">
        <v>618</v>
      </c>
      <c r="BC1042" s="4" t="s">
        <v>16</v>
      </c>
      <c r="BD1042" s="4" t="s">
        <v>16</v>
      </c>
    </row>
    <row r="1043" spans="54:56">
      <c r="BB1043" s="4" t="s">
        <v>619</v>
      </c>
      <c r="BC1043" s="4" t="s">
        <v>16</v>
      </c>
      <c r="BD1043" s="4" t="s">
        <v>16</v>
      </c>
    </row>
    <row r="1044" spans="54:56">
      <c r="BB1044" s="4" t="s">
        <v>628</v>
      </c>
      <c r="BC1044" s="4" t="s">
        <v>16</v>
      </c>
      <c r="BD1044" s="4" t="s">
        <v>16</v>
      </c>
    </row>
    <row r="1045" spans="54:56">
      <c r="BB1045" s="4" t="s">
        <v>632</v>
      </c>
      <c r="BC1045" s="4" t="s">
        <v>16</v>
      </c>
      <c r="BD1045" s="4" t="s">
        <v>16</v>
      </c>
    </row>
    <row r="1046" spans="54:56">
      <c r="BB1046" s="4" t="s">
        <v>633</v>
      </c>
      <c r="BC1046" s="4" t="s">
        <v>16</v>
      </c>
      <c r="BD1046" s="4" t="s">
        <v>16</v>
      </c>
    </row>
    <row r="1047" spans="54:56">
      <c r="BB1047" s="4" t="s">
        <v>634</v>
      </c>
      <c r="BC1047" s="4" t="s">
        <v>16</v>
      </c>
      <c r="BD1047" s="4" t="s">
        <v>16</v>
      </c>
    </row>
    <row r="1048" spans="54:56">
      <c r="BB1048" s="4" t="s">
        <v>635</v>
      </c>
      <c r="BC1048" s="4" t="s">
        <v>16</v>
      </c>
      <c r="BD1048" s="4" t="s">
        <v>16</v>
      </c>
    </row>
    <row r="1049" spans="54:56">
      <c r="BB1049" s="4" t="s">
        <v>2043</v>
      </c>
      <c r="BC1049" s="4" t="s">
        <v>16</v>
      </c>
      <c r="BD1049" s="4" t="s">
        <v>16</v>
      </c>
    </row>
    <row r="1050" spans="54:56">
      <c r="BB1050" s="4" t="s">
        <v>630</v>
      </c>
      <c r="BC1050" s="4" t="s">
        <v>629</v>
      </c>
      <c r="BD1050" s="4" t="s">
        <v>16</v>
      </c>
    </row>
    <row r="1051" spans="54:56">
      <c r="BB1051" s="4" t="s">
        <v>564</v>
      </c>
      <c r="BC1051" s="4" t="s">
        <v>563</v>
      </c>
      <c r="BD1051" s="4" t="s">
        <v>16</v>
      </c>
    </row>
    <row r="1052" spans="54:56">
      <c r="BB1052" s="4" t="s">
        <v>566</v>
      </c>
      <c r="BC1052" s="4" t="s">
        <v>565</v>
      </c>
      <c r="BD1052" s="4" t="s">
        <v>16</v>
      </c>
    </row>
    <row r="1053" spans="54:56">
      <c r="BB1053" s="4" t="s">
        <v>569</v>
      </c>
      <c r="BC1053" s="4" t="s">
        <v>568</v>
      </c>
      <c r="BD1053" s="4" t="s">
        <v>16</v>
      </c>
    </row>
    <row r="1054" spans="54:56">
      <c r="BB1054" s="4" t="s">
        <v>561</v>
      </c>
      <c r="BC1054" s="4" t="s">
        <v>560</v>
      </c>
      <c r="BD1054" s="4" t="s">
        <v>16</v>
      </c>
    </row>
    <row r="1055" spans="54:56">
      <c r="BB1055" s="4" t="s">
        <v>562</v>
      </c>
      <c r="BC1055" s="4" t="s">
        <v>560</v>
      </c>
      <c r="BD1055" s="4" t="s">
        <v>16</v>
      </c>
    </row>
    <row r="1056" spans="54:56">
      <c r="BB1056" s="4" t="s">
        <v>1787</v>
      </c>
      <c r="BC1056" s="4" t="s">
        <v>1786</v>
      </c>
      <c r="BD1056" s="4" t="s">
        <v>1786</v>
      </c>
    </row>
    <row r="1057" spans="54:56">
      <c r="BB1057" s="4" t="s">
        <v>1788</v>
      </c>
      <c r="BC1057" s="4" t="s">
        <v>1786</v>
      </c>
      <c r="BD1057" s="4" t="s">
        <v>1786</v>
      </c>
    </row>
    <row r="1058" spans="54:56">
      <c r="BB1058" s="4" t="s">
        <v>382</v>
      </c>
      <c r="BC1058" s="4" t="s">
        <v>381</v>
      </c>
      <c r="BD1058" s="4" t="s">
        <v>381</v>
      </c>
    </row>
    <row r="1059" spans="54:56">
      <c r="BB1059" s="4" t="s">
        <v>1760</v>
      </c>
      <c r="BC1059" s="4" t="s">
        <v>381</v>
      </c>
      <c r="BD1059" s="4" t="s">
        <v>381</v>
      </c>
    </row>
    <row r="1060" spans="54:56">
      <c r="BB1060" s="4" t="s">
        <v>1761</v>
      </c>
      <c r="BC1060" s="4" t="s">
        <v>381</v>
      </c>
      <c r="BD1060" s="4" t="s">
        <v>381</v>
      </c>
    </row>
    <row r="1061" spans="54:56">
      <c r="BB1061" s="4" t="s">
        <v>1193</v>
      </c>
      <c r="BC1061" s="4" t="s">
        <v>381</v>
      </c>
      <c r="BD1061" s="4" t="s">
        <v>381</v>
      </c>
    </row>
    <row r="1062" spans="54:56">
      <c r="BB1062" s="4" t="s">
        <v>2044</v>
      </c>
      <c r="BC1062" s="4" t="s">
        <v>381</v>
      </c>
      <c r="BD1062" s="4" t="s">
        <v>381</v>
      </c>
    </row>
    <row r="1063" spans="54:56">
      <c r="BB1063" s="4" t="s">
        <v>1543</v>
      </c>
      <c r="BC1063" s="4" t="s">
        <v>381</v>
      </c>
      <c r="BD1063" s="4" t="s">
        <v>381</v>
      </c>
    </row>
    <row r="1064" spans="54:56">
      <c r="BB1064" s="4" t="s">
        <v>1765</v>
      </c>
      <c r="BC1064" s="4" t="s">
        <v>1764</v>
      </c>
      <c r="BD1064" s="4" t="s">
        <v>381</v>
      </c>
    </row>
    <row r="1065" spans="54:56">
      <c r="BB1065" s="4" t="s">
        <v>1763</v>
      </c>
      <c r="BC1065" s="4" t="s">
        <v>1762</v>
      </c>
      <c r="BD1065" s="4" t="s">
        <v>381</v>
      </c>
    </row>
    <row r="1066" spans="54:56">
      <c r="BB1066" s="4" t="s">
        <v>1766</v>
      </c>
      <c r="BC1066" s="4" t="s">
        <v>1767</v>
      </c>
      <c r="BD1066" s="4" t="s">
        <v>1767</v>
      </c>
    </row>
    <row r="1067" spans="54:56">
      <c r="BB1067" s="4" t="s">
        <v>1768</v>
      </c>
      <c r="BC1067" s="4" t="s">
        <v>1767</v>
      </c>
      <c r="BD1067" s="4" t="s">
        <v>1767</v>
      </c>
    </row>
    <row r="1068" spans="54:56">
      <c r="BB1068" s="4" t="s">
        <v>1194</v>
      </c>
      <c r="BC1068" s="4" t="s">
        <v>1767</v>
      </c>
      <c r="BD1068" s="4" t="s">
        <v>1767</v>
      </c>
    </row>
    <row r="1069" spans="54:56">
      <c r="BB1069" s="4" t="s">
        <v>1770</v>
      </c>
      <c r="BC1069" s="4" t="s">
        <v>1769</v>
      </c>
      <c r="BD1069" s="4" t="s">
        <v>1767</v>
      </c>
    </row>
    <row r="1070" spans="54:56">
      <c r="BB1070" s="4" t="s">
        <v>1921</v>
      </c>
      <c r="BC1070" s="4" t="s">
        <v>1920</v>
      </c>
      <c r="BD1070" s="4" t="s">
        <v>1920</v>
      </c>
    </row>
    <row r="1071" spans="54:56">
      <c r="BB1071" s="4" t="s">
        <v>1922</v>
      </c>
      <c r="BC1071" s="4" t="s">
        <v>1920</v>
      </c>
      <c r="BD1071" s="4" t="s">
        <v>1920</v>
      </c>
    </row>
    <row r="1072" spans="54:56">
      <c r="BB1072" s="4" t="s">
        <v>1923</v>
      </c>
      <c r="BC1072" s="4" t="s">
        <v>1920</v>
      </c>
      <c r="BD1072" s="4" t="s">
        <v>1920</v>
      </c>
    </row>
    <row r="1073" spans="54:56">
      <c r="BB1073" s="4" t="s">
        <v>1925</v>
      </c>
      <c r="BC1073" s="4" t="s">
        <v>1924</v>
      </c>
      <c r="BD1073" s="4" t="s">
        <v>1920</v>
      </c>
    </row>
    <row r="1074" spans="54:56">
      <c r="BB1074" s="4" t="s">
        <v>1874</v>
      </c>
      <c r="BC1074" s="4" t="s">
        <v>1873</v>
      </c>
      <c r="BD1074" s="4" t="s">
        <v>1789</v>
      </c>
    </row>
    <row r="1075" spans="54:56">
      <c r="BB1075" s="4" t="s">
        <v>1871</v>
      </c>
      <c r="BC1075" s="4" t="s">
        <v>1789</v>
      </c>
      <c r="BD1075" s="4" t="s">
        <v>1789</v>
      </c>
    </row>
    <row r="1076" spans="54:56">
      <c r="BB1076" s="4" t="s">
        <v>1872</v>
      </c>
      <c r="BC1076" s="4" t="s">
        <v>1789</v>
      </c>
      <c r="BD1076" s="4" t="s">
        <v>1789</v>
      </c>
    </row>
    <row r="1077" spans="54:56">
      <c r="BB1077" s="4" t="s">
        <v>1195</v>
      </c>
      <c r="BC1077" s="4" t="s">
        <v>1789</v>
      </c>
      <c r="BD1077" s="4" t="s">
        <v>1789</v>
      </c>
    </row>
    <row r="1078" spans="54:56">
      <c r="BB1078" s="4" t="s">
        <v>698</v>
      </c>
      <c r="BC1078" s="4" t="s">
        <v>1789</v>
      </c>
      <c r="BD1078" s="4" t="s">
        <v>1789</v>
      </c>
    </row>
    <row r="1079" spans="54:56">
      <c r="BB1079" s="4" t="s">
        <v>1772</v>
      </c>
      <c r="BC1079" s="4" t="s">
        <v>1771</v>
      </c>
      <c r="BD1079" s="4" t="s">
        <v>1773</v>
      </c>
    </row>
    <row r="1080" spans="54:56">
      <c r="BB1080" s="4" t="s">
        <v>1774</v>
      </c>
      <c r="BC1080" s="4" t="s">
        <v>1771</v>
      </c>
      <c r="BD1080" s="4" t="s">
        <v>1773</v>
      </c>
    </row>
    <row r="1081" spans="54:56">
      <c r="BB1081" s="4" t="s">
        <v>1775</v>
      </c>
      <c r="BC1081" s="4" t="s">
        <v>1771</v>
      </c>
      <c r="BD1081" s="4" t="s">
        <v>1773</v>
      </c>
    </row>
    <row r="1082" spans="54:56">
      <c r="BB1082" s="4" t="s">
        <v>1083</v>
      </c>
      <c r="BC1082" s="4" t="s">
        <v>1082</v>
      </c>
      <c r="BD1082" s="4" t="s">
        <v>1082</v>
      </c>
    </row>
    <row r="1083" spans="54:56">
      <c r="BB1083" s="4" t="s">
        <v>1084</v>
      </c>
      <c r="BC1083" s="4" t="s">
        <v>1082</v>
      </c>
      <c r="BD1083" s="4" t="s">
        <v>1082</v>
      </c>
    </row>
    <row r="1084" spans="54:56">
      <c r="BB1084" s="4" t="s">
        <v>1131</v>
      </c>
      <c r="BC1084" s="4" t="s">
        <v>1082</v>
      </c>
      <c r="BD1084" s="4" t="s">
        <v>1082</v>
      </c>
    </row>
    <row r="1085" spans="54:56">
      <c r="BB1085" s="4" t="s">
        <v>1134</v>
      </c>
      <c r="BC1085" s="4" t="s">
        <v>1082</v>
      </c>
      <c r="BD1085" s="4" t="s">
        <v>1082</v>
      </c>
    </row>
    <row r="1086" spans="54:56">
      <c r="BB1086" s="4" t="s">
        <v>1092</v>
      </c>
      <c r="BC1086" s="4" t="s">
        <v>1091</v>
      </c>
      <c r="BD1086" s="4" t="s">
        <v>1082</v>
      </c>
    </row>
    <row r="1087" spans="54:56">
      <c r="BB1087" s="4" t="s">
        <v>1088</v>
      </c>
      <c r="BC1087" s="4" t="s">
        <v>1087</v>
      </c>
      <c r="BD1087" s="4" t="s">
        <v>1082</v>
      </c>
    </row>
    <row r="1088" spans="54:56">
      <c r="BB1088" s="4" t="s">
        <v>1094</v>
      </c>
      <c r="BC1088" s="4" t="s">
        <v>1093</v>
      </c>
      <c r="BD1088" s="4" t="s">
        <v>1082</v>
      </c>
    </row>
    <row r="1089" spans="54:56">
      <c r="BB1089" s="4" t="s">
        <v>1086</v>
      </c>
      <c r="BC1089" s="4" t="s">
        <v>1085</v>
      </c>
      <c r="BD1089" s="4" t="s">
        <v>1082</v>
      </c>
    </row>
    <row r="1090" spans="54:56">
      <c r="BB1090" s="4" t="s">
        <v>1101</v>
      </c>
      <c r="BC1090" s="4" t="s">
        <v>1100</v>
      </c>
      <c r="BD1090" s="4" t="s">
        <v>1095</v>
      </c>
    </row>
    <row r="1091" spans="54:56">
      <c r="BB1091" s="4" t="s">
        <v>1096</v>
      </c>
      <c r="BC1091" s="4" t="s">
        <v>1095</v>
      </c>
      <c r="BD1091" s="4" t="s">
        <v>1095</v>
      </c>
    </row>
    <row r="1092" spans="54:56">
      <c r="BB1092" s="4" t="s">
        <v>1097</v>
      </c>
      <c r="BC1092" s="4" t="s">
        <v>1095</v>
      </c>
      <c r="BD1092" s="4" t="s">
        <v>1095</v>
      </c>
    </row>
    <row r="1093" spans="54:56">
      <c r="BB1093" s="4" t="s">
        <v>1130</v>
      </c>
      <c r="BC1093" s="4" t="s">
        <v>1095</v>
      </c>
      <c r="BD1093" s="4" t="s">
        <v>1095</v>
      </c>
    </row>
    <row r="1094" spans="54:56">
      <c r="BB1094" s="4" t="s">
        <v>1132</v>
      </c>
      <c r="BC1094" s="4" t="s">
        <v>1095</v>
      </c>
      <c r="BD1094" s="4" t="s">
        <v>1095</v>
      </c>
    </row>
    <row r="1095" spans="54:56">
      <c r="BB1095" s="4" t="s">
        <v>1099</v>
      </c>
      <c r="BC1095" s="4" t="s">
        <v>1098</v>
      </c>
      <c r="BD1095" s="4" t="s">
        <v>1095</v>
      </c>
    </row>
    <row r="1096" spans="54:56">
      <c r="BB1096" s="4" t="s">
        <v>1103</v>
      </c>
      <c r="BC1096" s="4" t="s">
        <v>1102</v>
      </c>
      <c r="BD1096" s="4" t="s">
        <v>1095</v>
      </c>
    </row>
    <row r="1097" spans="54:56">
      <c r="BB1097" s="4" t="s">
        <v>1105</v>
      </c>
      <c r="BC1097" s="4" t="s">
        <v>1104</v>
      </c>
      <c r="BD1097" s="4" t="s">
        <v>1095</v>
      </c>
    </row>
    <row r="1098" spans="54:56">
      <c r="BB1098" s="4" t="s">
        <v>1124</v>
      </c>
      <c r="BC1098" s="4" t="s">
        <v>1123</v>
      </c>
      <c r="BD1098" s="4" t="s">
        <v>1080</v>
      </c>
    </row>
    <row r="1099" spans="54:56">
      <c r="BB1099" s="4" t="s">
        <v>1126</v>
      </c>
      <c r="BC1099" s="4" t="s">
        <v>1125</v>
      </c>
      <c r="BD1099" s="4" t="s">
        <v>1080</v>
      </c>
    </row>
    <row r="1100" spans="54:56">
      <c r="BB1100" s="4" t="s">
        <v>1108</v>
      </c>
      <c r="BC1100" s="4" t="s">
        <v>1107</v>
      </c>
      <c r="BD1100" s="4" t="s">
        <v>1080</v>
      </c>
    </row>
    <row r="1101" spans="54:56">
      <c r="BB1101" s="4" t="s">
        <v>1129</v>
      </c>
      <c r="BC1101" s="4" t="s">
        <v>1128</v>
      </c>
      <c r="BD1101" s="4" t="s">
        <v>1080</v>
      </c>
    </row>
    <row r="1102" spans="54:56">
      <c r="BB1102" s="4" t="s">
        <v>1133</v>
      </c>
      <c r="BC1102" s="4" t="s">
        <v>1128</v>
      </c>
      <c r="BD1102" s="4" t="s">
        <v>1080</v>
      </c>
    </row>
    <row r="1103" spans="54:56">
      <c r="BB1103" s="4" t="s">
        <v>1090</v>
      </c>
      <c r="BC1103" s="4" t="s">
        <v>1089</v>
      </c>
      <c r="BD1103" s="4" t="s">
        <v>1080</v>
      </c>
    </row>
    <row r="1104" spans="54:56">
      <c r="BB1104" s="4" t="s">
        <v>1120</v>
      </c>
      <c r="BC1104" s="4" t="s">
        <v>1089</v>
      </c>
      <c r="BD1104" s="4" t="s">
        <v>1080</v>
      </c>
    </row>
    <row r="1105" spans="54:56">
      <c r="BB1105" s="4" t="s">
        <v>1119</v>
      </c>
      <c r="BC1105" s="4" t="s">
        <v>1118</v>
      </c>
      <c r="BD1105" s="4" t="s">
        <v>1080</v>
      </c>
    </row>
    <row r="1106" spans="54:56">
      <c r="BB1106" s="4" t="s">
        <v>1106</v>
      </c>
      <c r="BC1106" s="4" t="s">
        <v>1080</v>
      </c>
      <c r="BD1106" s="4" t="s">
        <v>1080</v>
      </c>
    </row>
    <row r="1107" spans="54:56">
      <c r="BB1107" s="4" t="s">
        <v>1109</v>
      </c>
      <c r="BC1107" s="4" t="s">
        <v>1080</v>
      </c>
      <c r="BD1107" s="4" t="s">
        <v>1080</v>
      </c>
    </row>
    <row r="1108" spans="54:56">
      <c r="BB1108" s="4" t="s">
        <v>1127</v>
      </c>
      <c r="BC1108" s="4" t="s">
        <v>1080</v>
      </c>
      <c r="BD1108" s="4" t="s">
        <v>1080</v>
      </c>
    </row>
    <row r="1109" spans="54:56">
      <c r="BB1109" s="4" t="s">
        <v>2045</v>
      </c>
      <c r="BC1109" s="4" t="s">
        <v>1080</v>
      </c>
      <c r="BD1109" s="4" t="s">
        <v>1080</v>
      </c>
    </row>
    <row r="1110" spans="54:56">
      <c r="BB1110" s="4" t="s">
        <v>1520</v>
      </c>
      <c r="BC1110" s="4" t="s">
        <v>1080</v>
      </c>
      <c r="BD1110" s="4" t="s">
        <v>1080</v>
      </c>
    </row>
    <row r="1111" spans="54:56">
      <c r="BB1111" s="4" t="s">
        <v>1111</v>
      </c>
      <c r="BC1111" s="4" t="s">
        <v>1110</v>
      </c>
      <c r="BD1111" s="4" t="s">
        <v>1080</v>
      </c>
    </row>
    <row r="1112" spans="54:56">
      <c r="BB1112" s="4" t="s">
        <v>1122</v>
      </c>
      <c r="BC1112" s="4" t="s">
        <v>1121</v>
      </c>
      <c r="BD1112" s="4" t="s">
        <v>1080</v>
      </c>
    </row>
    <row r="1113" spans="54:56">
      <c r="BB1113" s="4" t="s">
        <v>1117</v>
      </c>
      <c r="BC1113" s="4" t="s">
        <v>1113</v>
      </c>
      <c r="BD1113" s="4" t="s">
        <v>1080</v>
      </c>
    </row>
    <row r="1114" spans="54:56">
      <c r="BB1114" s="4" t="s">
        <v>2111</v>
      </c>
      <c r="BC1114" s="4" t="s">
        <v>229</v>
      </c>
      <c r="BD1114" s="4" t="s">
        <v>231</v>
      </c>
    </row>
  </sheetData>
  <sheetProtection sheet="1" selectLockedCells="1" selectUnlockedCells="1"/>
  <autoFilter ref="BI4:BL4">
    <sortState ref="BI5:BL343">
      <sortCondition ref="BJ4"/>
    </sortState>
  </autoFilter>
  <sortState ref="BJ5:BL333">
    <sortCondition ref="BJ5:BJ333"/>
  </sortState>
  <phoneticPr fontId="1" type="noConversion"/>
  <pageMargins left="0.75" right="0.75" top="1" bottom="1" header="0" footer="0"/>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B40"/>
  <sheetViews>
    <sheetView zoomScale="145" zoomScaleNormal="145" workbookViewId="0">
      <selection activeCell="A5" sqref="A5"/>
    </sheetView>
  </sheetViews>
  <sheetFormatPr baseColWidth="10" defaultRowHeight="12.75"/>
  <cols>
    <col min="1" max="1" width="22.85546875" customWidth="1"/>
    <col min="2" max="2" width="64.5703125" customWidth="1"/>
  </cols>
  <sheetData>
    <row r="1" spans="1:2">
      <c r="A1" s="25" t="s">
        <v>2399</v>
      </c>
    </row>
    <row r="2" spans="1:2">
      <c r="A2" s="25" t="s">
        <v>2400</v>
      </c>
    </row>
    <row r="3" spans="1:2">
      <c r="A3" s="25" t="s">
        <v>2401</v>
      </c>
    </row>
    <row r="6" spans="1:2" ht="27.75">
      <c r="A6" s="26" t="s">
        <v>2402</v>
      </c>
    </row>
    <row r="8" spans="1:2">
      <c r="A8" s="27" t="s">
        <v>2403</v>
      </c>
    </row>
    <row r="9" spans="1:2">
      <c r="A9" s="27" t="s">
        <v>2404</v>
      </c>
    </row>
    <row r="10" spans="1:2">
      <c r="A10" s="27" t="s">
        <v>2405</v>
      </c>
    </row>
    <row r="11" spans="1:2">
      <c r="A11" s="27"/>
    </row>
    <row r="12" spans="1:2" ht="4.5" customHeight="1" thickBot="1">
      <c r="A12" s="27"/>
    </row>
    <row r="13" spans="1:2" ht="16.5" customHeight="1" thickBot="1">
      <c r="A13" s="28" t="s">
        <v>2406</v>
      </c>
      <c r="B13" s="28" t="s">
        <v>2407</v>
      </c>
    </row>
    <row r="14" spans="1:2" ht="25.5">
      <c r="A14" s="31" t="s">
        <v>2837</v>
      </c>
      <c r="B14" s="31" t="s">
        <v>2840</v>
      </c>
    </row>
    <row r="15" spans="1:2" ht="38.25">
      <c r="A15" s="31" t="s">
        <v>2838</v>
      </c>
      <c r="B15" s="32" t="s">
        <v>2841</v>
      </c>
    </row>
    <row r="16" spans="1:2" ht="51">
      <c r="A16" s="31" t="s">
        <v>2839</v>
      </c>
      <c r="B16" s="32" t="s">
        <v>2842</v>
      </c>
    </row>
    <row r="17" spans="1:2" ht="25.5">
      <c r="A17" s="29" t="s">
        <v>2408</v>
      </c>
      <c r="B17" s="30" t="s">
        <v>2409</v>
      </c>
    </row>
    <row r="18" spans="1:2" ht="25.5">
      <c r="A18" s="31" t="s">
        <v>1818</v>
      </c>
      <c r="B18" s="32" t="s">
        <v>2410</v>
      </c>
    </row>
    <row r="19" spans="1:2" ht="25.5">
      <c r="A19" s="31" t="s">
        <v>2411</v>
      </c>
      <c r="B19" s="32" t="s">
        <v>2412</v>
      </c>
    </row>
    <row r="20" spans="1:2" ht="33" customHeight="1">
      <c r="A20" s="31" t="s">
        <v>2413</v>
      </c>
      <c r="B20" s="32" t="s">
        <v>2414</v>
      </c>
    </row>
    <row r="21" spans="1:2" ht="25.5">
      <c r="A21" s="31" t="s">
        <v>1792</v>
      </c>
      <c r="B21" s="32" t="s">
        <v>2415</v>
      </c>
    </row>
    <row r="22" spans="1:2" ht="38.25">
      <c r="A22" s="31" t="s">
        <v>2416</v>
      </c>
      <c r="B22" s="32" t="s">
        <v>2417</v>
      </c>
    </row>
    <row r="23" spans="1:2" ht="25.5">
      <c r="A23" s="31" t="s">
        <v>2418</v>
      </c>
      <c r="B23" s="32" t="s">
        <v>2419</v>
      </c>
    </row>
    <row r="24" spans="1:2">
      <c r="A24" s="31" t="s">
        <v>1791</v>
      </c>
      <c r="B24" s="32" t="s">
        <v>2420</v>
      </c>
    </row>
    <row r="25" spans="1:2" ht="25.5">
      <c r="A25" s="31" t="s">
        <v>1793</v>
      </c>
      <c r="B25" s="32" t="s">
        <v>2421</v>
      </c>
    </row>
    <row r="26" spans="1:2" ht="25.5">
      <c r="A26" s="31" t="s">
        <v>2422</v>
      </c>
      <c r="B26" s="32" t="s">
        <v>2423</v>
      </c>
    </row>
    <row r="27" spans="1:2">
      <c r="A27" s="31" t="s">
        <v>2424</v>
      </c>
      <c r="B27" s="32" t="s">
        <v>2425</v>
      </c>
    </row>
    <row r="28" spans="1:2">
      <c r="A28" s="31" t="s">
        <v>2426</v>
      </c>
      <c r="B28" s="32" t="s">
        <v>2427</v>
      </c>
    </row>
    <row r="29" spans="1:2">
      <c r="A29" s="31" t="s">
        <v>2428</v>
      </c>
      <c r="B29" s="32" t="s">
        <v>2427</v>
      </c>
    </row>
    <row r="30" spans="1:2">
      <c r="A30" s="31" t="s">
        <v>2429</v>
      </c>
      <c r="B30" s="32" t="s">
        <v>2430</v>
      </c>
    </row>
    <row r="31" spans="1:2">
      <c r="A31" s="31" t="s">
        <v>2431</v>
      </c>
      <c r="B31" s="32" t="s">
        <v>2432</v>
      </c>
    </row>
    <row r="32" spans="1:2" ht="25.5">
      <c r="A32" s="31" t="s">
        <v>2433</v>
      </c>
      <c r="B32" s="32" t="s">
        <v>2434</v>
      </c>
    </row>
    <row r="33" spans="1:2" ht="26.25" thickBot="1">
      <c r="A33" s="33" t="s">
        <v>2435</v>
      </c>
      <c r="B33" s="34" t="s">
        <v>2436</v>
      </c>
    </row>
    <row r="36" spans="1:2">
      <c r="A36" s="35"/>
    </row>
    <row r="37" spans="1:2">
      <c r="A37" s="36"/>
    </row>
    <row r="38" spans="1:2">
      <c r="A38" s="36"/>
    </row>
    <row r="39" spans="1:2">
      <c r="A39" s="36"/>
    </row>
    <row r="40" spans="1:2">
      <c r="A40" s="36"/>
    </row>
  </sheetData>
  <sheetProtection sheet="1" objects="1" scenarios="1" selectLockedCells="1" selectUnlockedCells="1"/>
  <pageMargins left="1.0629921259842521" right="0.47244094488188981" top="0.47244094488188981" bottom="2.1259842519685042" header="0.31496062992125984" footer="0.74803149606299213"/>
  <pageSetup paperSize="9" scale="93" orientation="portrait" r:id="rId1"/>
  <headerFooter>
    <oddFooter>&amp;LActualizado al: &amp;D&amp;RPágina nro: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57</vt:i4>
      </vt:variant>
    </vt:vector>
  </HeadingPairs>
  <TitlesOfParts>
    <vt:vector size="60" baseType="lpstr">
      <vt:lpstr>Carga de Alojados</vt:lpstr>
      <vt:lpstr>Datos</vt:lpstr>
      <vt:lpstr>Instructivo</vt:lpstr>
      <vt:lpstr>Instructivo!Área_de_impresión</vt:lpstr>
      <vt:lpstr>Caratulas</vt:lpstr>
      <vt:lpstr>Comunica</vt:lpstr>
      <vt:lpstr>Depto</vt:lpstr>
      <vt:lpstr>Edad</vt:lpstr>
      <vt:lpstr>Empleo</vt:lpstr>
      <vt:lpstr>Estado</vt:lpstr>
      <vt:lpstr>Género</vt:lpstr>
      <vt:lpstr>JD</vt:lpstr>
      <vt:lpstr>JD_01_SAN_NICOLAS</vt:lpstr>
      <vt:lpstr>JD_02_PERGAMINO</vt:lpstr>
      <vt:lpstr>JD_03_JUNIN</vt:lpstr>
      <vt:lpstr>JD_04_TRENQUE_LAUQUEN</vt:lpstr>
      <vt:lpstr>JD_05_ZARATE_CAMPANA</vt:lpstr>
      <vt:lpstr>JD_06_MERCEDES</vt:lpstr>
      <vt:lpstr>JD_07_PEHUAJO</vt:lpstr>
      <vt:lpstr>JD_08_SAN_VICENTE</vt:lpstr>
      <vt:lpstr>JD_09_25_DE_MAYO</vt:lpstr>
      <vt:lpstr>JD_10_CHASCOMUS</vt:lpstr>
      <vt:lpstr>JD_11_AZUL</vt:lpstr>
      <vt:lpstr>JD_12_GUAMINI</vt:lpstr>
      <vt:lpstr>JD_13_PINAMAR</vt:lpstr>
      <vt:lpstr>JD_14_TANDIL</vt:lpstr>
      <vt:lpstr>JD_15_MAR_DEL_PLATA</vt:lpstr>
      <vt:lpstr>JD_16_NECOCHEA</vt:lpstr>
      <vt:lpstr>JD_17_TRES_ARROYOS</vt:lpstr>
      <vt:lpstr>JD_18_CORONEL_SUAREZ</vt:lpstr>
      <vt:lpstr>JD_19_BAHIA_BLANCA</vt:lpstr>
      <vt:lpstr>JD_20_EXALT_DE_LA_CRUZ</vt:lpstr>
      <vt:lpstr>JD_21_CONURBANO_NORTE</vt:lpstr>
      <vt:lpstr>JD_22_SAN_MARTIN</vt:lpstr>
      <vt:lpstr>JD_23_PILAR</vt:lpstr>
      <vt:lpstr>JD_24_MORENO</vt:lpstr>
      <vt:lpstr>JD_25_MORON</vt:lpstr>
      <vt:lpstr>JD_26_LA_MATANZA</vt:lpstr>
      <vt:lpstr>JD_27_MERLO</vt:lpstr>
      <vt:lpstr>JD_28_ALMIRANTE_BROWN</vt:lpstr>
      <vt:lpstr>JD_29_LANUS</vt:lpstr>
      <vt:lpstr>JD_30_LA_PLATA</vt:lpstr>
      <vt:lpstr>JD_31_DOLORES</vt:lpstr>
      <vt:lpstr>JD_32_QUILMES</vt:lpstr>
      <vt:lpstr>JD_33_TRES_DE_FEBRERO</vt:lpstr>
      <vt:lpstr>Nacionalidad</vt:lpstr>
      <vt:lpstr>Procedimiento</vt:lpstr>
      <vt:lpstr>SELECCIONE</vt:lpstr>
      <vt:lpstr>Sí_No</vt:lpstr>
      <vt:lpstr>Situación</vt:lpstr>
      <vt:lpstr>SUPERINT_DE_EVAL_INF_PREV_DELITO</vt:lpstr>
      <vt:lpstr>SUPERINT_DE_SEGURIDAD_RURAL</vt:lpstr>
      <vt:lpstr>SUPERINT_DE_SEGURIDAD_VIAL</vt:lpstr>
      <vt:lpstr>SUPERINT_INV_DELITOS_COMPLEJOS</vt:lpstr>
      <vt:lpstr>SUPERINT_INV_TRAF_Y_DROG_ILICITAS</vt:lpstr>
      <vt:lpstr>SUPERINT_INVEST_FUNC_JUDICIAL</vt:lpstr>
      <vt:lpstr>SUPERINT_POLICIAS_DE_SEGURIDAD</vt:lpstr>
      <vt:lpstr>SUPERINT_POLITICAS_GENERO</vt:lpstr>
      <vt:lpstr>Superintendencia</vt:lpstr>
      <vt:lpstr>Tipo_doc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CONRADO</dc:creator>
  <cp:lastModifiedBy>Juan José Herrera</cp:lastModifiedBy>
  <cp:lastPrinted>2020-03-27T20:20:44Z</cp:lastPrinted>
  <dcterms:created xsi:type="dcterms:W3CDTF">2013-03-01T21:23:49Z</dcterms:created>
  <dcterms:modified xsi:type="dcterms:W3CDTF">2022-03-29T00:04:02Z</dcterms:modified>
</cp:coreProperties>
</file>